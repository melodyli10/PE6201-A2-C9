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d915b34b1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9bfddd1d73d417f"/>
    <x:sheet xmlns:r="http://schemas.openxmlformats.org/officeDocument/2006/relationships" name="Model Runs" sheetId="2" r:id="Rb9af46d4bfa54f67"/>
    <x:sheet xmlns:r="http://schemas.openxmlformats.org/officeDocument/2006/relationships" name="Model Prices" sheetId="3" r:id="Rae337748ea1d40e6"/>
    <x:sheet xmlns:r="http://schemas.openxmlformats.org/officeDocument/2006/relationships" name="Experiments" sheetId="4" r:id="R6a3c906dcbd4427c"/>
    <x:sheet xmlns:r="http://schemas.openxmlformats.org/officeDocument/2006/relationships" name="Cost Calculator" sheetId="5" r:id="R249a96ead7d14829"/>
    <x:sheet xmlns:r="http://schemas.openxmlformats.org/officeDocument/2006/relationships" name="Sensitivity" sheetId="6" r:id="R0890e4a71e2b42a5"/>
    <x:sheet xmlns:r="http://schemas.openxmlformats.org/officeDocument/2006/relationships" name="Break Even" sheetId="7" r:id="R9fe4d5f3e1e84e8a"/>
    <x:sheet xmlns:r="http://schemas.openxmlformats.org/officeDocument/2006/relationships" name="Cost Ledger" sheetId="8" r:id="R2bf4345041134dd8"/>
    <x:sheet xmlns:r="http://schemas.openxmlformats.org/officeDocument/2006/relationships" name="Checks" sheetId="9" r:id="Rb78e2c274c8d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%"/>
    <x:numFmt numFmtId="202" formatCode="#,##0"/>
    <x:numFmt numFmtId="203" formatCode="$0.0000"/>
    <x:numFmt numFmtId="204" formatCode="$0.00"/>
    <x:numFmt numFmtId="205" formatCode="$#,##0.00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13D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sz val="11"/>
      <x:color rgb="FF23313D"/>
      <x:name val="Carlito"/>
    </x:font>
    <x:font>
      <x:sz val="11"/>
      <x:color rgb="FF1F4E78"/>
      <x:name val="Carlito"/>
    </x:font>
    <x:font>
      <x:sz val="10"/>
      <x:color rgb="FF1F4E78"/>
      <x:name val="Carlito"/>
    </x:font>
    <x:font>
      <x:b/>
      <x:sz val="11"/>
      <x:color rgb="FF23313D"/>
      <x:name val="Carlito"/>
    </x:font>
    <x:font>
      <x:b/>
      <x:sz val="10"/>
      <x:color rgb="FF23313D"/>
      <x:name val="Aptos"/>
    </x:font>
    <x:font>
      <x:i/>
      <x:sz val="10"/>
      <x:color rgb="FF23313D"/>
      <x:name val="Aptos"/>
    </x:font>
    <x:font>
      <x:sz val="10"/>
      <x:color rgb="FF23313D"/>
      <x:name val="Aptos"/>
    </x:font>
    <x:font>
      <x:b/>
      <x:sz val="16"/>
      <x:color rgb="FFFFFFFF"/>
      <x:name val="Aptos Display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8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</x:fills>
  <x:borders count="15"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7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3" xfId="0" applyNumberFormat="1" applyFont="1" applyFill="1" applyBorder="1"/>
    <x:xf numFmtId="0" fontId="7" fillId="5" borderId="13" xfId="0" applyNumberFormat="1" applyFont="1" applyFill="1" applyBorder="1"/>
    <x:xf numFmtId="0" fontId="7" fillId="5" borderId="1" xfId="0" applyNumberFormat="1" applyFont="1" applyFill="1" applyBorder="1"/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0" xfId="0" applyNumberFormat="1" applyFont="1" applyFill="1" applyBorder="1"/>
    <x:xf numFmtId="0" fontId="7" fillId="7" borderId="1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9" xfId="0" applyNumberFormat="1" applyFont="1" applyFill="1" applyBorder="1"/>
    <x:xf numFmtId="200" fontId="8" fillId="6" borderId="2" xfId="0" applyNumberFormat="1" applyFont="1" applyFill="1" applyBorder="1"/>
    <x:xf numFmtId="200" fontId="8" fillId="6" borderId="5" xfId="0" applyNumberFormat="1" applyFont="1" applyFill="1" applyBorder="1"/>
    <x:xf numFmtId="200" fontId="8" fillId="6" borderId="8" xfId="0" applyNumberFormat="1" applyFont="1" applyFill="1" applyBorder="1"/>
    <x:xf numFmtId="201" fontId="7" fillId="7" borderId="1" xfId="0" applyNumberFormat="1" applyFont="1" applyFill="1" applyBorder="1"/>
    <x:xf numFmtId="201" fontId="7" fillId="7" borderId="3" xfId="0" applyNumberFormat="1" applyFont="1" applyFill="1" applyBorder="1"/>
    <x:xf numFmtId="201" fontId="7" fillId="7" borderId="4" xfId="0" applyNumberFormat="1" applyFont="1" applyFill="1" applyBorder="1"/>
    <x:xf numFmtId="201" fontId="7" fillId="7" borderId="6" xfId="0" applyNumberFormat="1" applyFont="1" applyFill="1" applyBorder="1"/>
    <x:xf numFmtId="201" fontId="7" fillId="7" borderId="7" xfId="0" applyNumberFormat="1" applyFont="1" applyFill="1" applyBorder="1"/>
    <x:xf numFmtId="201" fontId="7" fillId="7" borderId="9" xfId="0" applyNumberFormat="1" applyFont="1" applyFill="1" applyBorder="1"/>
    <x:xf numFmtId="202" fontId="8" fillId="6" borderId="1" xfId="0" applyNumberFormat="1" applyFont="1" applyFill="1" applyBorder="1"/>
    <x:xf numFmtId="202" fontId="8" fillId="6" borderId="3" xfId="0" applyNumberFormat="1" applyFont="1" applyFill="1" applyBorder="1"/>
    <x:xf numFmtId="202" fontId="7" fillId="7" borderId="1" xfId="0" applyNumberFormat="1" applyFont="1" applyFill="1" applyBorder="1"/>
    <x:xf numFmtId="202" fontId="7" fillId="7" borderId="3" xfId="0" applyNumberFormat="1" applyFont="1" applyFill="1" applyBorder="1"/>
    <x:xf numFmtId="202" fontId="8" fillId="6" borderId="4" xfId="0" applyNumberFormat="1" applyFont="1" applyFill="1" applyBorder="1"/>
    <x:xf numFmtId="202" fontId="8" fillId="6" borderId="6" xfId="0" applyNumberFormat="1" applyFont="1" applyFill="1" applyBorder="1"/>
    <x:xf numFmtId="202" fontId="7" fillId="7" borderId="4" xfId="0" applyNumberFormat="1" applyFont="1" applyFill="1" applyBorder="1"/>
    <x:xf numFmtId="202" fontId="7" fillId="7" borderId="6" xfId="0" applyNumberFormat="1" applyFont="1" applyFill="1" applyBorder="1"/>
    <x:xf numFmtId="202" fontId="8" fillId="6" borderId="7" xfId="0" applyNumberFormat="1" applyFont="1" applyFill="1" applyBorder="1"/>
    <x:xf numFmtId="202" fontId="8" fillId="6" borderId="9" xfId="0" applyNumberFormat="1" applyFont="1" applyFill="1" applyBorder="1"/>
    <x:xf numFmtId="202" fontId="7" fillId="7" borderId="7" xfId="0" applyNumberFormat="1" applyFont="1" applyFill="1" applyBorder="1"/>
    <x:xf numFmtId="202" fontId="7" fillId="7" borderId="9" xfId="0" applyNumberFormat="1" applyFont="1" applyFill="1" applyBorder="1"/>
    <x:xf numFmtId="203" fontId="8" fillId="6" borderId="1" xfId="0" applyNumberFormat="1" applyFont="1" applyFill="1" applyBorder="1"/>
    <x:xf numFmtId="203" fontId="8" fillId="6" borderId="2" xfId="0" applyNumberFormat="1" applyFont="1" applyFill="1" applyBorder="1"/>
    <x:xf numFmtId="203" fontId="8" fillId="6" borderId="4" xfId="0" applyNumberFormat="1" applyFont="1" applyFill="1" applyBorder="1"/>
    <x:xf numFmtId="203" fontId="8" fillId="6" borderId="5" xfId="0" applyNumberFormat="1" applyFont="1" applyFill="1" applyBorder="1"/>
    <x:xf numFmtId="203" fontId="8" fillId="6" borderId="7" xfId="0" applyNumberFormat="1" applyFont="1" applyFill="1" applyBorder="1"/>
    <x:xf numFmtId="203" fontId="8" fillId="6" borderId="8" xfId="0" applyNumberFormat="1" applyFont="1" applyFill="1" applyBorder="1"/>
    <x:xf numFmtId="201" fontId="7" fillId="7" borderId="13" xfId="0" applyNumberFormat="1" applyFont="1" applyFill="1" applyBorder="1"/>
    <x:xf numFmtId="201" fontId="7" fillId="7" borderId="14" xfId="0" applyNumberFormat="1" applyFont="1" applyFill="1" applyBorder="1"/>
    <x:xf numFmtId="201" fontId="7" fillId="7" borderId="10" xfId="0" applyNumberFormat="1" applyFont="1" applyFill="1" applyBorder="1"/>
    <x:xf numFmtId="0" fontId="3" fillId="4" borderId="5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0" xfId="0" applyNumberFormat="1" applyFont="1" applyFill="1" applyBorder="1"/>
    <x:xf numFmtId="202" fontId="8" fillId="6" borderId="13" xfId="0" applyNumberFormat="1" applyFont="1" applyFill="1" applyBorder="1"/>
    <x:xf numFmtId="204" fontId="8" fillId="6" borderId="14" xfId="0" applyNumberFormat="1" applyFont="1" applyFill="1" applyBorder="1"/>
    <x:xf numFmtId="204" fontId="8" fillId="6" borderId="10" xfId="0" applyNumberFormat="1" applyFont="1" applyFill="1" applyBorder="1"/>
    <x:xf numFmtId="0" fontId="7" fillId="7" borderId="2" xfId="0" applyNumberFormat="1" applyFont="1" applyFill="1" applyBorder="1"/>
    <x:xf numFmtId="0" fontId="7" fillId="7" borderId="5" xfId="0" applyNumberFormat="1" applyFont="1" applyFill="1" applyBorder="1"/>
    <x:xf numFmtId="0" fontId="7" fillId="7" borderId="8" xfId="0" applyNumberFormat="1" applyFont="1" applyFill="1" applyBorder="1"/>
    <x:xf numFmtId="201" fontId="7" fillId="7" borderId="2" xfId="0" applyNumberFormat="1" applyFont="1" applyFill="1" applyBorder="1"/>
    <x:xf numFmtId="201" fontId="7" fillId="7" borderId="5" xfId="0" applyNumberFormat="1" applyFont="1" applyFill="1" applyBorder="1"/>
    <x:xf numFmtId="201" fontId="7" fillId="7" borderId="8" xfId="0" applyNumberFormat="1" applyFont="1" applyFill="1" applyBorder="1"/>
    <x:xf numFmtId="202" fontId="7" fillId="7" borderId="2" xfId="0" applyNumberFormat="1" applyFont="1" applyFill="1" applyBorder="1"/>
    <x:xf numFmtId="202" fontId="7" fillId="7" borderId="5" xfId="0" applyNumberFormat="1" applyFont="1" applyFill="1" applyBorder="1"/>
    <x:xf numFmtId="202" fontId="7" fillId="7" borderId="8" xfId="0" applyNumberFormat="1" applyFont="1" applyFill="1" applyBorder="1"/>
    <x:xf numFmtId="203" fontId="7" fillId="7" borderId="2" xfId="0" applyNumberFormat="1" applyFont="1" applyFill="1" applyBorder="1"/>
    <x:xf numFmtId="203" fontId="7" fillId="7" borderId="3" xfId="0" applyNumberFormat="1" applyFont="1" applyFill="1" applyBorder="1"/>
    <x:xf numFmtId="203" fontId="8" fillId="6" borderId="13" xfId="0" applyNumberFormat="1" applyFont="1" applyFill="1" applyBorder="1"/>
    <x:xf numFmtId="203" fontId="7" fillId="7" borderId="13" xfId="0" applyNumberFormat="1" applyFont="1" applyFill="1" applyBorder="1"/>
    <x:xf numFmtId="203" fontId="7" fillId="7" borderId="5" xfId="0" applyNumberFormat="1" applyFont="1" applyFill="1" applyBorder="1"/>
    <x:xf numFmtId="203" fontId="7" fillId="7" borderId="6" xfId="0" applyNumberFormat="1" applyFont="1" applyFill="1" applyBorder="1"/>
    <x:xf numFmtId="203" fontId="8" fillId="6" borderId="14" xfId="0" applyNumberFormat="1" applyFont="1" applyFill="1" applyBorder="1"/>
    <x:xf numFmtId="203" fontId="7" fillId="7" borderId="14" xfId="0" applyNumberFormat="1" applyFont="1" applyFill="1" applyBorder="1"/>
    <x:xf numFmtId="203" fontId="7" fillId="7" borderId="8" xfId="0" applyNumberFormat="1" applyFont="1" applyFill="1" applyBorder="1"/>
    <x:xf numFmtId="203" fontId="7" fillId="7" borderId="9" xfId="0" applyNumberFormat="1" applyFont="1" applyFill="1" applyBorder="1"/>
    <x:xf numFmtId="203" fontId="8" fillId="6" borderId="10" xfId="0" applyNumberFormat="1" applyFont="1" applyFill="1" applyBorder="1"/>
    <x:xf numFmtId="203" fontId="7" fillId="7" borderId="10" xfId="0" applyNumberFormat="1" applyFont="1" applyFill="1" applyBorder="1"/>
    <x:xf numFmtId="205" fontId="7" fillId="7" borderId="3" xfId="0" applyNumberFormat="1" applyFont="1" applyFill="1" applyBorder="1"/>
    <x:xf numFmtId="205" fontId="7" fillId="7" borderId="6" xfId="0" applyNumberFormat="1" applyFont="1" applyFill="1" applyBorder="1"/>
    <x:xf numFmtId="205" fontId="7" fillId="7" borderId="9" xfId="0" applyNumberFormat="1" applyFont="1" applyFill="1" applyBorder="1"/>
    <x:xf numFmtId="201" fontId="8" fillId="6" borderId="3" xfId="0" applyNumberFormat="1" applyFont="1" applyFill="1" applyBorder="1"/>
    <x:xf numFmtId="201" fontId="8" fillId="6" borderId="6" xfId="0" applyNumberFormat="1" applyFont="1" applyFill="1" applyBorder="1"/>
    <x:xf numFmtId="201" fontId="8" fillId="6" borderId="9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203" fontId="8" fillId="6" borderId="0" xfId="0" applyNumberFormat="1" applyFont="1" applyFill="1" applyBorder="1"/>
    <x:xf numFmtId="0" fontId="4" fillId="6" borderId="2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9" fillId="6" borderId="2" xfId="0" applyNumberFormat="1" applyFont="1" applyFill="1" applyBorder="1" applyAlignment="1">
      <x:alignment vertical="center"/>
    </x:xf>
    <x:xf numFmtId="0" fontId="9" fillId="6" borderId="5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9" fillId="6" borderId="3" xfId="0" applyNumberFormat="1" applyFont="1" applyFill="1" applyBorder="1" applyAlignment="1">
      <x:alignment vertical="center"/>
    </x:xf>
    <x:xf numFmtId="0" fontId="9" fillId="6" borderId="6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4" fillId="7" borderId="8" xfId="0" applyNumberFormat="1" applyFont="1" applyFill="1" applyBorder="1" applyAlignment="1">
      <x:alignment vertical="center"/>
    </x:xf>
    <x:xf numFmtId="201" fontId="4" fillId="7" borderId="2" xfId="0" applyNumberFormat="1" applyFont="1" applyFill="1" applyBorder="1" applyAlignment="1">
      <x:alignment vertical="center"/>
    </x:xf>
    <x:xf numFmtId="201" fontId="4" fillId="7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10" fillId="7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13" fillId="0" borderId="2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3" fillId="0" borderId="5" xfId="0" applyNumberFormat="1" applyFont="1" applyFill="1" applyBorder="1" applyAlignment="1">
      <x:alignment vertical="center"/>
    </x:xf>
    <x:xf numFmtId="0" fontId="13" fillId="0" borderId="6" xfId="0" applyNumberFormat="1" applyFont="1" applyFill="1" applyBorder="1" applyAlignment="1">
      <x:alignment vertical="center"/>
    </x:xf>
    <x:xf numFmtId="0" fontId="11" fillId="3" borderId="7" xfId="0" applyNumberFormat="1" applyFont="1" applyFill="1" applyBorder="1" applyAlignment="1">
      <x:alignment horizontal="center" vertical="center"/>
    </x:xf>
    <x:xf numFmtId="0" fontId="13" fillId="0" borderId="8" xfId="0" applyNumberFormat="1" applyFont="1" applyFill="1" applyBorder="1" applyAlignment="1">
      <x:alignment vertical="center"/>
    </x:xf>
    <x:xf numFmtId="0" fontId="13" fillId="0" borderId="9" xfId="0" applyNumberFormat="1" applyFont="1" applyFill="1" applyBorder="1" applyAlignment="1">
      <x:alignment vertical="center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vertical="center"/>
    </x:xf>
    <x:xf numFmtId="0" fontId="13" fillId="0" borderId="7" xfId="0" applyNumberFormat="1" applyFont="1" applyFill="1" applyBorder="1" applyAlignment="1">
      <x:alignment vertical="center"/>
    </x:xf>
    <x:xf numFmtId="0" fontId="13" fillId="5" borderId="9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wrapText="1"/>
    </x:xf>
    <x:xf numFmtId="0" fontId="13" fillId="5" borderId="7" xfId="0" applyNumberFormat="1" applyFont="1" applyFill="1" applyBorder="1" applyAlignment="1">
      <x:alignment wrapText="1"/>
    </x:xf>
    <x:xf numFmtId="0" fontId="13" fillId="5" borderId="11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3" fillId="5" borderId="12" xfId="0" applyNumberFormat="1" applyFont="1" applyFill="1" applyBorder="1" applyAlignment="1">
      <x:alignment wrapText="1"/>
    </x:xf>
    <x:xf numFmtId="0" fontId="13" fillId="5" borderId="3" xfId="0" applyNumberFormat="1" applyFont="1" applyFill="1" applyBorder="1" applyAlignment="1">
      <x:alignment wrapText="1"/>
    </x:xf>
    <x:xf numFmtId="0" fontId="13" fillId="5" borderId="13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wrapText="1"/>
    </x:xf>
    <x:xf numFmtId="0" fontId="13" fillId="6" borderId="1" xfId="0" applyNumberFormat="1" applyFont="1" applyFill="1" applyBorder="1"/>
    <x:xf numFmtId="0" fontId="13" fillId="6" borderId="2" xfId="0" applyNumberFormat="1" applyFont="1" applyFill="1" applyBorder="1"/>
    <x:xf numFmtId="20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7" borderId="13" xfId="0" applyNumberFormat="1" applyFont="1" applyFill="1" applyBorder="1"/>
    <x:xf numFmtId="201" fontId="13" fillId="7" borderId="1" xfId="0" applyNumberFormat="1" applyFont="1" applyFill="1" applyBorder="1"/>
    <x:xf numFmtId="201" fontId="13" fillId="7" borderId="3" xfId="0" applyNumberFormat="1" applyFont="1" applyFill="1" applyBorder="1"/>
    <x:xf numFmtId="202" fontId="13" fillId="6" borderId="1" xfId="0" applyNumberFormat="1" applyFont="1" applyFill="1" applyBorder="1"/>
    <x:xf numFmtId="202" fontId="13" fillId="6" borderId="3" xfId="0" applyNumberFormat="1" applyFont="1" applyFill="1" applyBorder="1"/>
    <x:xf numFmtId="202" fontId="13" fillId="7" borderId="1" xfId="0" applyNumberFormat="1" applyFont="1" applyFill="1" applyBorder="1"/>
    <x:xf numFmtId="202" fontId="13" fillId="7" borderId="3" xfId="0" applyNumberFormat="1" applyFont="1" applyFill="1" applyBorder="1"/>
    <x:xf numFmtId="203" fontId="13" fillId="6" borderId="1" xfId="0" applyNumberFormat="1" applyFont="1" applyFill="1" applyBorder="1"/>
    <x:xf numFmtId="203" fontId="13" fillId="6" borderId="2" xfId="0" applyNumberFormat="1" applyFont="1" applyFill="1" applyBorder="1"/>
    <x:xf numFmtId="0" fontId="13" fillId="6" borderId="4" xfId="0" applyNumberFormat="1" applyFont="1" applyFill="1" applyBorder="1"/>
    <x:xf numFmtId="0" fontId="13" fillId="6" borderId="5" xfId="0" applyNumberFormat="1" applyFont="1" applyFill="1" applyBorder="1"/>
    <x:xf numFmtId="200" fontId="13" fillId="6" borderId="5" xfId="0" applyNumberFormat="1" applyFont="1" applyFill="1" applyBorder="1"/>
    <x:xf numFmtId="0" fontId="13" fillId="6" borderId="6" xfId="0" applyNumberFormat="1" applyFont="1" applyFill="1" applyBorder="1"/>
    <x:xf numFmtId="0" fontId="13" fillId="7" borderId="14" xfId="0" applyNumberFormat="1" applyFont="1" applyFill="1" applyBorder="1"/>
    <x:xf numFmtId="201" fontId="13" fillId="7" borderId="4" xfId="0" applyNumberFormat="1" applyFont="1" applyFill="1" applyBorder="1"/>
    <x:xf numFmtId="201" fontId="13" fillId="7" borderId="6" xfId="0" applyNumberFormat="1" applyFont="1" applyFill="1" applyBorder="1"/>
    <x:xf numFmtId="202" fontId="13" fillId="6" borderId="4" xfId="0" applyNumberFormat="1" applyFont="1" applyFill="1" applyBorder="1"/>
    <x:xf numFmtId="202" fontId="13" fillId="6" borderId="6" xfId="0" applyNumberFormat="1" applyFont="1" applyFill="1" applyBorder="1"/>
    <x:xf numFmtId="202" fontId="13" fillId="7" borderId="4" xfId="0" applyNumberFormat="1" applyFont="1" applyFill="1" applyBorder="1"/>
    <x:xf numFmtId="202" fontId="13" fillId="7" borderId="6" xfId="0" applyNumberFormat="1" applyFont="1" applyFill="1" applyBorder="1"/>
    <x:xf numFmtId="203" fontId="13" fillId="6" borderId="4" xfId="0" applyNumberFormat="1" applyFont="1" applyFill="1" applyBorder="1"/>
    <x:xf numFmtId="203" fontId="13" fillId="6" borderId="5" xfId="0" applyNumberFormat="1" applyFont="1" applyFill="1" applyBorder="1"/>
    <x:xf numFmtId="0" fontId="13" fillId="6" borderId="7" xfId="0" applyNumberFormat="1" applyFont="1" applyFill="1" applyBorder="1"/>
    <x:xf numFmtId="0" fontId="13" fillId="6" borderId="8" xfId="0" applyNumberFormat="1" applyFont="1" applyFill="1" applyBorder="1"/>
    <x:xf numFmtId="200" fontId="13" fillId="6" borderId="8" xfId="0" applyNumberFormat="1" applyFont="1" applyFill="1" applyBorder="1"/>
    <x:xf numFmtId="0" fontId="13" fillId="6" borderId="9" xfId="0" applyNumberFormat="1" applyFont="1" applyFill="1" applyBorder="1"/>
    <x:xf numFmtId="0" fontId="13" fillId="7" borderId="10" xfId="0" applyNumberFormat="1" applyFont="1" applyFill="1" applyBorder="1"/>
    <x:xf numFmtId="201" fontId="13" fillId="7" borderId="7" xfId="0" applyNumberFormat="1" applyFont="1" applyFill="1" applyBorder="1"/>
    <x:xf numFmtId="201" fontId="13" fillId="7" borderId="9" xfId="0" applyNumberFormat="1" applyFont="1" applyFill="1" applyBorder="1"/>
    <x:xf numFmtId="202" fontId="13" fillId="6" borderId="7" xfId="0" applyNumberFormat="1" applyFont="1" applyFill="1" applyBorder="1"/>
    <x:xf numFmtId="202" fontId="13" fillId="6" borderId="9" xfId="0" applyNumberFormat="1" applyFont="1" applyFill="1" applyBorder="1"/>
    <x:xf numFmtId="202" fontId="13" fillId="7" borderId="7" xfId="0" applyNumberFormat="1" applyFont="1" applyFill="1" applyBorder="1"/>
    <x:xf numFmtId="202" fontId="13" fillId="7" borderId="9" xfId="0" applyNumberFormat="1" applyFont="1" applyFill="1" applyBorder="1"/>
    <x:xf numFmtId="203" fontId="13" fillId="6" borderId="7" xfId="0" applyNumberFormat="1" applyFont="1" applyFill="1" applyBorder="1"/>
    <x:xf numFmtId="203" fontId="13" fillId="6" borderId="8" xfId="0" applyNumberFormat="1" applyFont="1" applyFill="1" applyBorder="1"/>
    <x:xf numFmtId="201" fontId="13" fillId="7" borderId="13" xfId="0" applyNumberFormat="1" applyFont="1" applyFill="1" applyBorder="1"/>
    <x:xf numFmtId="0" fontId="13" fillId="7" borderId="1" xfId="0" applyNumberFormat="1" applyFont="1" applyFill="1" applyBorder="1"/>
    <x:xf numFmtId="0" fontId="13" fillId="7" borderId="3" xfId="0" applyNumberFormat="1" applyFont="1" applyFill="1" applyBorder="1"/>
    <x:xf numFmtId="201" fontId="13" fillId="7" borderId="14" xfId="0" applyNumberFormat="1" applyFont="1" applyFill="1" applyBorder="1"/>
    <x:xf numFmtId="0" fontId="13" fillId="7" borderId="4" xfId="0" applyNumberFormat="1" applyFont="1" applyFill="1" applyBorder="1"/>
    <x:xf numFmtId="0" fontId="13" fillId="7" borderId="6" xfId="0" applyNumberFormat="1" applyFont="1" applyFill="1" applyBorder="1"/>
    <x:xf numFmtId="201" fontId="13" fillId="7" borderId="10" xfId="0" applyNumberFormat="1" applyFont="1" applyFill="1" applyBorder="1"/>
    <x:xf numFmtId="0" fontId="13" fillId="7" borderId="7" xfId="0" applyNumberFormat="1" applyFont="1" applyFill="1" applyBorder="1"/>
    <x:xf numFmtId="0" fontId="13" fillId="7" borderId="9" xfId="0" applyNumberFormat="1" applyFont="1" applyFill="1" applyBorder="1"/>
    <x:xf numFmtId="0" fontId="11" fillId="4" borderId="5" xfId="0" applyNumberFormat="1" applyFont="1" applyFill="1" applyBorder="1"/>
    <x:xf numFmtId="202" fontId="13" fillId="6" borderId="13" xfId="0" applyNumberFormat="1" applyFont="1" applyFill="1" applyBorder="1"/>
    <x:xf numFmtId="204" fontId="13" fillId="6" borderId="14" xfId="0" applyNumberFormat="1" applyFont="1" applyFill="1" applyBorder="1"/>
    <x:xf numFmtId="204" fontId="13" fillId="6" borderId="10" xfId="0" applyNumberFormat="1" applyFont="1" applyFill="1" applyBorder="1"/>
    <x:xf numFmtId="0" fontId="13" fillId="6" borderId="13" xfId="0" applyNumberFormat="1" applyFont="1" applyFill="1" applyBorder="1"/>
    <x:xf numFmtId="201" fontId="13" fillId="7" borderId="2" xfId="0" applyNumberFormat="1" applyFont="1" applyFill="1" applyBorder="1"/>
    <x:xf numFmtId="202" fontId="13" fillId="7" borderId="2" xfId="0" applyNumberFormat="1" applyFont="1" applyFill="1" applyBorder="1"/>
    <x:xf numFmtId="203" fontId="13" fillId="7" borderId="2" xfId="0" applyNumberFormat="1" applyFont="1" applyFill="1" applyBorder="1"/>
    <x:xf numFmtId="205" fontId="13" fillId="7" borderId="3" xfId="0" applyNumberFormat="1" applyFont="1" applyFill="1" applyBorder="1"/>
    <x:xf numFmtId="203" fontId="13" fillId="6" borderId="13" xfId="0" applyNumberFormat="1" applyFont="1" applyFill="1" applyBorder="1"/>
    <x:xf numFmtId="203" fontId="13" fillId="7" borderId="13" xfId="0" applyNumberFormat="1" applyFont="1" applyFill="1" applyBorder="1"/>
    <x:xf numFmtId="0" fontId="13" fillId="6" borderId="14" xfId="0" applyNumberFormat="1" applyFont="1" applyFill="1" applyBorder="1"/>
    <x:xf numFmtId="201" fontId="13" fillId="7" borderId="5" xfId="0" applyNumberFormat="1" applyFont="1" applyFill="1" applyBorder="1"/>
    <x:xf numFmtId="202" fontId="13" fillId="7" borderId="5" xfId="0" applyNumberFormat="1" applyFont="1" applyFill="1" applyBorder="1"/>
    <x:xf numFmtId="203" fontId="13" fillId="7" borderId="5" xfId="0" applyNumberFormat="1" applyFont="1" applyFill="1" applyBorder="1"/>
    <x:xf numFmtId="205" fontId="13" fillId="7" borderId="6" xfId="0" applyNumberFormat="1" applyFont="1" applyFill="1" applyBorder="1"/>
    <x:xf numFmtId="203" fontId="13" fillId="6" borderId="14" xfId="0" applyNumberFormat="1" applyFont="1" applyFill="1" applyBorder="1"/>
    <x:xf numFmtId="203" fontId="13" fillId="7" borderId="14" xfId="0" applyNumberFormat="1" applyFont="1" applyFill="1" applyBorder="1"/>
    <x:xf numFmtId="0" fontId="13" fillId="6" borderId="10" xfId="0" applyNumberFormat="1" applyFont="1" applyFill="1" applyBorder="1"/>
    <x:xf numFmtId="201" fontId="13" fillId="7" borderId="8" xfId="0" applyNumberFormat="1" applyFont="1" applyFill="1" applyBorder="1"/>
    <x:xf numFmtId="202" fontId="13" fillId="7" borderId="8" xfId="0" applyNumberFormat="1" applyFont="1" applyFill="1" applyBorder="1"/>
    <x:xf numFmtId="203" fontId="13" fillId="7" borderId="8" xfId="0" applyNumberFormat="1" applyFont="1" applyFill="1" applyBorder="1"/>
    <x:xf numFmtId="205" fontId="13" fillId="7" borderId="9" xfId="0" applyNumberFormat="1" applyFont="1" applyFill="1" applyBorder="1"/>
    <x:xf numFmtId="203" fontId="13" fillId="6" borderId="10" xfId="0" applyNumberFormat="1" applyFont="1" applyFill="1" applyBorder="1"/>
    <x:xf numFmtId="203" fontId="13" fillId="7" borderId="10" xfId="0" applyNumberFormat="1" applyFont="1" applyFill="1" applyBorder="1"/>
    <x:xf numFmtId="0" fontId="13" fillId="6" borderId="0" xfId="0" applyNumberFormat="1" applyFont="1" applyFill="1" applyBorder="1"/>
    <x:xf numFmtId="201" fontId="13" fillId="6" borderId="3" xfId="0" applyNumberFormat="1" applyFont="1" applyFill="1" applyBorder="1"/>
    <x:xf numFmtId="201" fontId="13" fillId="6" borderId="6" xfId="0" applyNumberFormat="1" applyFont="1" applyFill="1" applyBorder="1"/>
    <x:xf numFmtId="201" fontId="13" fillId="6" borderId="9" xfId="0" applyNumberFormat="1" applyFont="1" applyFill="1" applyBorder="1"/>
    <x:xf numFmtId="0" fontId="11" fillId="4" borderId="5" xfId="0" applyNumberFormat="1" applyFont="1" applyFill="1" applyBorder="1" applyAlignment="1">
      <x:alignment wrapText="1"/>
    </x:xf>
    <x:xf numFmtId="203" fontId="13" fillId="6" borderId="0" xfId="0" applyNumberFormat="1" applyFont="1" applyFill="1" applyBorder="1"/>
    <x:xf numFmtId="0" fontId="13" fillId="6" borderId="2" xfId="0" applyNumberFormat="1" applyFont="1" applyFill="1" applyBorder="1" applyAlignment="1">
      <x:alignment vertical="center"/>
    </x:xf>
    <x:xf numFmtId="0" fontId="13" fillId="7" borderId="2" xfId="0" applyNumberFormat="1" applyFont="1" applyFill="1" applyBorder="1" applyAlignment="1">
      <x:alignment vertical="center"/>
    </x:xf>
    <x:xf numFmtId="201" fontId="13" fillId="7" borderId="2" xfId="0" applyNumberFormat="1" applyFont="1" applyFill="1" applyBorder="1" applyAlignment="1">
      <x:alignment vertical="center"/>
    </x:xf>
    <x:xf numFmtId="0" fontId="13" fillId="6" borderId="5" xfId="0" applyNumberFormat="1" applyFont="1" applyFill="1" applyBorder="1" applyAlignment="1">
      <x:alignment vertical="center"/>
    </x:xf>
    <x:xf numFmtId="0" fontId="13" fillId="7" borderId="5" xfId="0" applyNumberFormat="1" applyFont="1" applyFill="1" applyBorder="1" applyAlignment="1">
      <x:alignment vertical="center"/>
    </x:xf>
    <x:xf numFmtId="201" fontId="13" fillId="7" borderId="5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7" borderId="0" xfId="0" applyNumberFormat="1" applyFont="1" applyFill="1" applyBorder="1"/>
    <x:xf numFmtId="0" fontId="14" fillId="2" borderId="0" xfId="0" applyNumberFormat="1" applyFont="1" applyFill="1" applyBorder="1" applyAlignment="1">
      <x:alignment horizontal="left" vertical="center"/>
    </x:xf>
    <x:xf numFmtId="0" fontId="15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2b02cc0cc4606" /><Relationship Type="http://schemas.openxmlformats.org/officeDocument/2006/relationships/theme" Target="/xl/theme/theme1.xml" Id="R09294aa4282d4aae" /><Relationship Type="http://schemas.openxmlformats.org/officeDocument/2006/relationships/sharedStrings" Target="/xl/sharedStrings.xml" Id="R492aa01f315d4353" /><Relationship Type="http://schemas.openxmlformats.org/officeDocument/2006/relationships/worksheet" Target="/xl/worksheets/sheet1.xml" Id="R79bfddd1d73d417f" /><Relationship Type="http://schemas.openxmlformats.org/officeDocument/2006/relationships/worksheet" Target="/xl/worksheets/sheet2.xml" Id="Rb9af46d4bfa54f67" /><Relationship Type="http://schemas.openxmlformats.org/officeDocument/2006/relationships/worksheet" Target="/xl/worksheets/sheet3.xml" Id="Rae337748ea1d40e6" /><Relationship Type="http://schemas.openxmlformats.org/officeDocument/2006/relationships/worksheet" Target="/xl/worksheets/sheet4.xml" Id="R6a3c906dcbd4427c" /><Relationship Type="http://schemas.openxmlformats.org/officeDocument/2006/relationships/worksheet" Target="/xl/worksheets/sheet5.xml" Id="R249a96ead7d14829" /><Relationship Type="http://schemas.openxmlformats.org/officeDocument/2006/relationships/worksheet" Target="/xl/worksheets/sheet6.xml" Id="R0890e4a71e2b42a5" /><Relationship Type="http://schemas.openxmlformats.org/officeDocument/2006/relationships/worksheet" Target="/xl/worksheets/sheet7.xml" Id="R9fe4d5f3e1e84e8a" /><Relationship Type="http://schemas.openxmlformats.org/officeDocument/2006/relationships/worksheet" Target="/xl/worksheets/sheet8.xml" Id="R2bf4345041134dd8" /><Relationship Type="http://schemas.openxmlformats.org/officeDocument/2006/relationships/worksheet" Target="/xl/worksheets/sheet9.xml" Id="Rb78e2c274c8d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7" hidden="0" customWidth="1"/>
    <x:col min="4" max="4" width="24" hidden="0" customWidth="1"/>
    <x:col min="5" max="5" width="25" hidden="0" customWidth="1"/>
    <x:col min="6" max="6" width="23" hidden="0" customWidth="1"/>
    <x:col min="7" max="7" width="16" hidden="0" customWidth="1"/>
    <x:col min="8" max="8" width="20" hidden="0" customWidth="1"/>
  </x:cols>
  <x:sheetData>
    <x:row r="1" ht="30" customHeight="1">
      <x:c r="A1" s="284" t="str">
        <x:v>C9 · D6 Cost Model — Team Data Collection Template</x:v>
      </x:c>
      <x:c r="B1" s="284" t="str">
        <x:v>C9 · D6 Cost Model — Team Data Collection Template</x:v>
      </x:c>
      <x:c r="C1" s="284" t="str">
        <x:v>C9 · D6 Cost Model — Team Data Collection Template</x:v>
      </x:c>
      <x:c r="D1" s="284" t="str">
        <x:v>C9 · D6 Cost Model — Team Data Collection Template</x:v>
      </x:c>
      <x:c r="E1" s="284" t="str">
        <x:v>C9 · D6 Cost Model — Team Data Collection Template</x:v>
      </x:c>
      <x:c r="F1" s="284" t="str">
        <x:v>C9 · D6 Cost Model — Team Data Collection Template</x:v>
      </x:c>
      <x:c r="G1" s="284" t="str">
        <x:v>C9 · D6 Cost Model — Team Data Collection Template</x:v>
      </x:c>
      <x:c r="H1" s="284" t="str">
        <x:v>C9 · D6 Cost Model — Team Data Collection Template</x:v>
      </x:c>
    </x:row>
    <x:row r="2" ht="32" customHeight="1">
      <x:c r="A2" s="172" t="str">
        <x:v>队友只填蓝色单元格；灰色单元格由公式计算。Percentages must be entered as decimals (e.g. 82% = 0.82). Currency is USD.</x:v>
      </x:c>
      <x:c r="B2" s="172" t="str">
        <x:v>队友只填蓝色单元格；灰色单元格由公式计算。Percentages must be entered as decimals (e.g. 82% = 0.82). Currency is USD.</x:v>
      </x:c>
      <x:c r="C2" s="172" t="str">
        <x:v>队友只填蓝色单元格；灰色单元格由公式计算。Percentages must be entered as decimals (e.g. 82% = 0.82). Currency is USD.</x:v>
      </x:c>
      <x:c r="D2" s="172" t="str">
        <x:v>队友只填蓝色单元格；灰色单元格由公式计算。Percentages must be entered as decimals (e.g. 82% = 0.82). Currency is USD.</x:v>
      </x:c>
      <x:c r="E2" s="172" t="str">
        <x:v>队友只填蓝色单元格；灰色单元格由公式计算。Percentages must be entered as decimals (e.g. 82% = 0.82). Currency is USD.</x:v>
      </x:c>
      <x:c r="F2" s="172" t="str">
        <x:v>队友只填蓝色单元格；灰色单元格由公式计算。Percentages must be entered as decimals (e.g. 82% = 0.82). Currency is USD.</x:v>
      </x:c>
      <x:c r="G2" s="172" t="str">
        <x:v>队友只填蓝色单元格；灰色单元格由公式计算。Percentages must be entered as decimals (e.g. 82% = 0.82). Currency is USD.</x:v>
      </x:c>
      <x:c r="H2" s="172" t="str">
        <x:v>队友只填蓝色单元格；灰色单元格由公式计算。Percentages must be entered as decimals (e.g. 82% = 0.82). Currency is USD.</x:v>
      </x:c>
    </x:row>
    <x:row r="3">
      <x:c r="A3" s="173"/>
      <x:c r="B3" s="173"/>
      <x:c r="C3" s="173"/>
      <x:c r="D3" s="173"/>
      <x:c r="E3" s="173"/>
      <x:c r="F3" s="173"/>
      <x:c r="G3" s="173"/>
      <x:c r="H3" s="173"/>
    </x:row>
    <x:row r="4" ht="24" customHeight="1">
      <x:c r="A4" s="174" t="str">
        <x:v>使用顺序 / Workflow</x:v>
      </x:c>
      <x:c r="B4" s="174" t="str">
        <x:v>使用顺序 / Workflow</x:v>
      </x:c>
      <x:c r="C4" s="174" t="str">
        <x:v>使用顺序 / Workflow</x:v>
      </x:c>
      <x:c r="D4" s="174" t="str">
        <x:v>使用顺序 / Workflow</x:v>
      </x:c>
      <x:c r="E4" s="174" t="str">
        <x:v>使用顺序 / Workflow</x:v>
      </x:c>
      <x:c r="F4" s="174" t="str">
        <x:v>使用顺序 / Workflow</x:v>
      </x:c>
      <x:c r="G4" s="174" t="str">
        <x:v>使用顺序 / Workflow</x:v>
      </x:c>
      <x:c r="H4" s="174" t="str">
        <x:v>使用顺序 / Workflow</x:v>
      </x:c>
    </x:row>
    <x:row r="5">
      <x:c r="A5" s="175" t="str">
        <x:v>1</x:v>
      </x:c>
      <x:c r="B5" s="176" t="str">
        <x:v>每位跑模型的成员</x:v>
      </x:c>
      <x:c r="C5" s="176" t="str">
        <x:v>在 Model Runs 填一行</x:v>
      </x:c>
      <x:c r="D5" s="176" t="str">
        <x:v>One row per model + prompt version</x:v>
      </x:c>
      <x:c r="E5" s="176" t="str">
        <x:v>必须附证据文件名</x:v>
      </x:c>
      <x:c r="F5" s="176" t="str">
        <x:v>No screenshot-only totals</x:v>
      </x:c>
      <x:c r="G5" s="176" t="str">
        <x:v>负责人</x:v>
      </x:c>
      <x:c r="H5" s="177" t="str">
        <x:v>D6 owner checks status</x:v>
      </x:c>
    </x:row>
    <x:row r="6">
      <x:c r="A6" s="178" t="str">
        <x:v>2</x:v>
      </x:c>
      <x:c r="B6" s="179" t="str">
        <x:v>查模型价格的人</x:v>
      </x:c>
      <x:c r="C6" s="179" t="str">
        <x:v>在 Model Prices 填一行</x:v>
      </x:c>
      <x:c r="D6" s="179" t="str">
        <x:v>Input/output price per 1M tokens</x:v>
      </x:c>
      <x:c r="E6" s="179" t="str">
        <x:v>写来源和核对日期</x:v>
      </x:c>
      <x:c r="F6" s="179" t="str">
        <x:v>Use exact model name</x:v>
      </x:c>
      <x:c r="G6" s="179" t="str">
        <x:v>负责人</x:v>
      </x:c>
      <x:c r="H6" s="180" t="str">
        <x:v>D6 owner verifies source</x:v>
      </x:c>
    </x:row>
    <x:row r="7">
      <x:c r="A7" s="178" t="str">
        <x:v>3</x:v>
      </x:c>
      <x:c r="B7" s="179" t="str">
        <x:v>做并行/descriptor实验的人</x:v>
      </x:c>
      <x:c r="C7" s="179" t="str">
        <x:v>在 Experiments 填每个 variant</x:v>
      </x:c>
      <x:c r="D7" s="179" t="str">
        <x:v>Before/after variants stay separate</x:v>
      </x:c>
      <x:c r="E7" s="179" t="str">
        <x:v>写 evidence file</x:v>
      </x:c>
      <x:c r="F7" s="179" t="str">
        <x:v>Keep units consistent</x:v>
      </x:c>
      <x:c r="G7" s="179" t="str">
        <x:v>负责人</x:v>
      </x:c>
      <x:c r="H7" s="180" t="str">
        <x:v>Experiment owner</x:v>
      </x:c>
    </x:row>
    <x:row r="8">
      <x:c r="A8" s="178" t="str">
        <x:v>4</x:v>
      </x:c>
      <x:c r="B8" s="179" t="str">
        <x:v>D6负责人</x:v>
      </x:c>
      <x:c r="C8" s="179" t="str">
        <x:v>在 Cost Calculator 选择 Run Key</x:v>
      </x:c>
      <x:c r="D8" s="179" t="str">
        <x:v>Costs populate automatically</x:v>
      </x:c>
      <x:c r="E8" s="179" t="str">
        <x:v>检查 Sensitivity</x:v>
      </x:c>
      <x:c r="F8" s="179" t="str">
        <x:v>Use ±10 percentage points</x:v>
      </x:c>
      <x:c r="G8" s="179" t="str">
        <x:v>负责人</x:v>
      </x:c>
      <x:c r="H8" s="180" t="str">
        <x:v>You</x:v>
      </x:c>
    </x:row>
    <x:row r="9">
      <x:c r="A9" s="178" t="str">
        <x:v>5</x:v>
      </x:c>
      <x:c r="B9" s="179" t="str">
        <x:v>D6负责人</x:v>
      </x:c>
      <x:c r="C9" s="179" t="str">
        <x:v>完成 Break Even 与 Cost Ledger</x:v>
      </x:c>
      <x:c r="D9" s="179" t="str">
        <x:v>Record all four levers</x:v>
      </x:c>
      <x:c r="E9" s="179" t="str">
        <x:v>检查 caps</x:v>
      </x:c>
      <x:c r="F9" s="179" t="str">
        <x:v>Keep source trail</x:v>
      </x:c>
      <x:c r="G9" s="179" t="str">
        <x:v>负责人</x:v>
      </x:c>
      <x:c r="H9" s="180" t="str">
        <x:v>You</x:v>
      </x:c>
    </x:row>
    <x:row r="10">
      <x:c r="A10" s="181" t="str">
        <x:v>6</x:v>
      </x:c>
      <x:c r="B10" s="182" t="str">
        <x:v>全组复核</x:v>
      </x:c>
      <x:c r="C10" s="182" t="str">
        <x:v>打开 Checks</x:v>
      </x:c>
      <x:c r="D10" s="182" t="str">
        <x:v>Resolve every FAIL/MISSING</x:v>
      </x:c>
      <x:c r="E10" s="182" t="str">
        <x:v>再写报告</x:v>
      </x:c>
      <x:c r="F10" s="182" t="str">
        <x:v>Do not overwrite formulas</x:v>
      </x:c>
      <x:c r="G10" s="182" t="str">
        <x:v>负责人</x:v>
      </x:c>
      <x:c r="H10" s="183" t="str">
        <x:v>Whole team</x:v>
      </x:c>
    </x:row>
    <x:row r="11">
      <x:c r="A11" s="173"/>
      <x:c r="B11" s="173"/>
      <x:c r="C11" s="173"/>
      <x:c r="D11" s="173"/>
      <x:c r="E11" s="173"/>
      <x:c r="F11" s="173"/>
      <x:c r="G11" s="173"/>
      <x:c r="H11" s="173"/>
    </x:row>
    <x:row r="12" ht="24" customHeight="1">
      <x:c r="A12" s="174" t="str">
        <x:v>必须向队友收集的字段 / Required hand-off fields</x:v>
      </x:c>
      <x:c r="B12" s="174" t="str">
        <x:v>必须向队友收集的字段 / Required hand-off fields</x:v>
      </x:c>
      <x:c r="C12" s="174" t="str">
        <x:v>必须向队友收集的字段 / Required hand-off fields</x:v>
      </x:c>
      <x:c r="D12" s="174" t="str">
        <x:v>必须向队友收集的字段 / Required hand-off fields</x:v>
      </x:c>
      <x:c r="E12" s="174" t="str">
        <x:v>必须向队友收集的字段 / Required hand-off fields</x:v>
      </x:c>
      <x:c r="F12" s="174" t="str">
        <x:v>必须向队友收集的字段 / Required hand-off fields</x:v>
      </x:c>
      <x:c r="G12" s="174" t="str">
        <x:v>必须向队友收集的字段 / Required hand-off fields</x:v>
      </x:c>
      <x:c r="H12" s="174" t="str">
        <x:v>必须向队友收集的字段 / Required hand-off fields</x:v>
      </x:c>
    </x:row>
    <x:row r="13" ht="38" customHeight="1">
      <x:c r="A13" s="285" t="str">
        <x:v>数据包</x:v>
      </x:c>
      <x:c r="B13" s="285" t="str">
        <x:v>必填字段</x:v>
      </x:c>
      <x:c r="C13" s="285" t="str">
        <x:v>单位/格式</x:v>
      </x:c>
      <x:c r="D13" s="285" t="str">
        <x:v>谁提供</x:v>
      </x:c>
      <x:c r="E13" s="285" t="str">
        <x:v>证据</x:v>
      </x:c>
      <x:c r="F13" s="285" t="str">
        <x:v>不要这样交</x:v>
      </x:c>
      <x:c r="G13" s="285" t="str">
        <x:v>验收标准</x:v>
      </x:c>
      <x:c r="H13" s="285" t="str">
        <x:v>去哪里填</x:v>
      </x:c>
    </x:row>
    <x:row r="14">
      <x:c r="A14" s="185" t="str">
        <x:v>Live model run</x:v>
      </x:c>
      <x:c r="B14" s="176" t="str">
        <x:v>Run Key, owner, exact model, family, tier, prompt, backend, eval version/date, run counts, pass counts, token totals, fees</x:v>
      </x:c>
      <x:c r="C14" s="176" t="str">
        <x:v>tokens; USD; date YYYY-MM-DD</x:v>
      </x:c>
      <x:c r="D14" s="176" t="str">
        <x:v>每位成员</x:v>
      </x:c>
      <x:c r="E14" s="176" t="str">
        <x:v>CSV/JSON/log filename</x:v>
      </x:c>
      <x:c r="F14" s="176" t="str">
        <x:v>只发截图或百分比</x:v>
      </x:c>
      <x:c r="G14" s="176" t="str">
        <x:v>Status = READY</x:v>
      </x:c>
      <x:c r="H14" s="177" t="str">
        <x:v>Model Runs</x:v>
      </x:c>
    </x:row>
    <x:row r="15">
      <x:c r="A15" s="186" t="str">
        <x:v>Model price</x:v>
      </x:c>
      <x:c r="B15" s="179" t="str">
        <x:v>Exact model, family, tier, input/output price</x:v>
      </x:c>
      <x:c r="C15" s="179" t="str">
        <x:v>USD per 1M tokens</x:v>
      </x:c>
      <x:c r="D15" s="179" t="str">
        <x:v>查价格的人/D6</x:v>
      </x:c>
      <x:c r="E15" s="179" t="str">
        <x:v>URL or pricing page name + checked date</x:v>
      </x:c>
      <x:c r="F15" s="179" t="str">
        <x:v>只写‘便宜/贵’</x:v>
      </x:c>
      <x:c r="G15" s="179" t="str">
        <x:v>Price row complete</x:v>
      </x:c>
      <x:c r="H15" s="180" t="str">
        <x:v>Model Prices</x:v>
      </x:c>
    </x:row>
    <x:row r="16">
      <x:c r="A16" s="186" t="str">
        <x:v>Experiment</x:v>
      </x:c>
      <x:c r="B16" s="179" t="str">
        <x:v>Type, variant, total/pass runs, turns, token totals, special metric</x:v>
      </x:c>
      <x:c r="C16" s="179" t="str">
        <x:v>runs; turns; tokens</x:v>
      </x:c>
      <x:c r="D16" s="179" t="str">
        <x:v>对应 strand owner</x:v>
      </x:c>
      <x:c r="E16" s="179" t="str">
        <x:v>Notebook/JSON/CSV filename</x:v>
      </x:c>
      <x:c r="F16" s="179" t="str">
        <x:v>把 before/after 混在一行</x:v>
      </x:c>
      <x:c r="G16" s="179" t="str">
        <x:v>Each variant has a row</x:v>
      </x:c>
      <x:c r="H16" s="180" t="str">
        <x:v>Experiments</x:v>
      </x:c>
    </x:row>
    <x:row r="17">
      <x:c r="A17" s="187" t="str">
        <x:v>Guardrail/caps</x:v>
      </x:c>
      <x:c r="B17" s="182" t="str">
        <x:v>Step cap, budget ceiling, monthly user limit, measured maxima</x:v>
      </x:c>
      <x:c r="C17" s="182" t="str">
        <x:v>steps; USD</x:v>
      </x:c>
      <x:c r="D17" s="182" t="str">
        <x:v>tools/guardrail owner + D6</x:v>
      </x:c>
      <x:c r="E17" s="182" t="str">
        <x:v>Config/code/result file</x:v>
      </x:c>
      <x:c r="F17" s="182" t="str">
        <x:v>只有阈值没有实测值</x:v>
      </x:c>
      <x:c r="G17" s="182" t="str">
        <x:v>Result = PASS</x:v>
      </x:c>
      <x:c r="H17" s="183" t="str">
        <x:v>Checks</x:v>
      </x:c>
    </x:row>
    <x:row r="18">
      <x:c r="A18" s="173"/>
      <x:c r="B18" s="173"/>
      <x:c r="C18" s="173"/>
      <x:c r="D18" s="173"/>
      <x:c r="E18" s="173"/>
      <x:c r="F18" s="173"/>
      <x:c r="G18" s="173"/>
      <x:c r="H18" s="173"/>
    </x:row>
    <x:row r="19" ht="34" customHeight="1">
      <x:c r="A19" s="188" t="str">
        <x:v>固定作业假设 / Fixed assignment assumptions: 8,000 claims per month; manual fallback cost = USD 7.60 per failed task; sensitivity = success rate ±10 percentage points.</x:v>
      </x:c>
      <x:c r="B19" s="189"/>
      <x:c r="C19" s="189"/>
      <x:c r="D19" s="189"/>
      <x:c r="E19" s="189"/>
      <x:c r="F19" s="189"/>
      <x:c r="G19" s="189"/>
      <x:c r="H19" s="190"/>
    </x:row>
    <x:row r="20" ht="34" customHeight="1">
      <x:c r="A20" s="191" t="str">
        <x:v>Expected live battery shape: 32 ordinary cases × 1 run + 8 negative cases × 3 runs = 56 live runs per model. Scripted guardrail/failure reproductions are recorded separately and do not enter live API cost.</x:v>
      </x:c>
      <x:c r="B20" s="192"/>
      <x:c r="C20" s="192"/>
      <x:c r="D20" s="192"/>
      <x:c r="E20" s="192"/>
      <x:c r="F20" s="192"/>
      <x:c r="G20" s="192"/>
      <x:c r="H20" s="193"/>
    </x:row>
    <x:row r="21" ht="34" customHeight="1">
      <x:c r="A21" s="194" t="str">
        <x:v>Naming rule: Run Key = exact_model_name|prompt_version, for example model-x|v2. Keep v2 and v1 as separate rows.</x:v>
      </x:c>
      <x:c r="B21" s="195"/>
      <x:c r="C21" s="195"/>
      <x:c r="D21" s="195"/>
      <x:c r="E21" s="195"/>
      <x:c r="F21" s="195"/>
      <x:c r="G21" s="195"/>
      <x:c r="H21" s="196"/>
    </x:row>
  </x:sheetData>
  <x:mergeCells>
    <x:mergeCell ref="A1:H1"/>
    <x:mergeCell ref="A2:H2"/>
    <x:mergeCell ref="A4:H4"/>
    <x:mergeCell ref="A12:H12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3" max="3" width="19" hidden="0" customWidth="1"/>
    <x:col min="4" max="4" width="19" hidden="0" customWidth="1"/>
    <x:col min="8" max="8" width="19" hidden="0" customWidth="1"/>
    <x:col min="25" max="25" width="19" hidden="0" customWidth="1"/>
    <x:col min="26" max="26" width="24" hidden="0" customWidth="1"/>
    <x:col min="2" max="2" width="13" hidden="0" customWidth="1"/>
    <x:col min="5" max="5" width="13" hidden="0" customWidth="1"/>
    <x:col min="6" max="6" width="13" hidden="0" customWidth="1"/>
    <x:col min="7" max="7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27" max="27" width="13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0" customHeight="1">
      <x:c r="A1" s="284" t="str">
        <x:v>Model Runs · one row per model + prompt version</x:v>
      </x:c>
      <x:c r="B1" s="284" t="str">
        <x:v>Model Runs · one row per model + prompt version</x:v>
      </x:c>
      <x:c r="C1" s="284" t="str">
        <x:v>Model Runs · one row per model + prompt version</x:v>
      </x:c>
      <x:c r="D1" s="284" t="str">
        <x:v>Model Runs · one row per model + prompt version</x:v>
      </x:c>
      <x:c r="E1" s="284" t="str">
        <x:v>Model Runs · one row per model + prompt version</x:v>
      </x:c>
      <x:c r="F1" s="284" t="str">
        <x:v>Model Runs · one row per model + prompt version</x:v>
      </x:c>
      <x:c r="G1" s="284" t="str">
        <x:v>Model Runs · one row per model + prompt version</x:v>
      </x:c>
      <x:c r="H1" s="284" t="str">
        <x:v>Model Runs · one row per model + prompt version</x:v>
      </x:c>
      <x:c r="I1" s="284" t="str">
        <x:v>Model Runs · one row per model + prompt version</x:v>
      </x:c>
      <x:c r="J1" s="284" t="str">
        <x:v>Model Runs · one row per model + prompt version</x:v>
      </x:c>
      <x:c r="K1" s="284" t="str">
        <x:v>Model Runs · one row per model + prompt version</x:v>
      </x:c>
      <x:c r="L1" s="284" t="str">
        <x:v>Model Runs · one row per model + prompt version</x:v>
      </x:c>
      <x:c r="M1" s="284" t="str">
        <x:v>Model Runs · one row per model + prompt version</x:v>
      </x:c>
      <x:c r="N1" s="284" t="str">
        <x:v>Model Runs · one row per model + prompt version</x:v>
      </x:c>
      <x:c r="O1" s="284" t="str">
        <x:v>Model Runs · one row per model + prompt version</x:v>
      </x:c>
      <x:c r="P1" s="284" t="str">
        <x:v>Model Runs · one row per model + prompt version</x:v>
      </x:c>
      <x:c r="Q1" s="284" t="str">
        <x:v>Model Runs · one row per model + prompt version</x:v>
      </x:c>
      <x:c r="R1" s="284" t="str">
        <x:v>Model Runs · one row per model + prompt version</x:v>
      </x:c>
      <x:c r="S1" s="284" t="str">
        <x:v>Model Runs · one row per model + prompt version</x:v>
      </x:c>
      <x:c r="T1" s="284" t="str">
        <x:v>Model Runs · one row per model + prompt version</x:v>
      </x:c>
      <x:c r="U1" s="284" t="str">
        <x:v>Model Runs · one row per model + prompt version</x:v>
      </x:c>
      <x:c r="V1" s="284" t="str">
        <x:v>Model Runs · one row per model + prompt version</x:v>
      </x:c>
      <x:c r="W1" s="284" t="str">
        <x:v>Model Runs · one row per model + prompt version</x:v>
      </x:c>
      <x:c r="X1" s="284" t="str">
        <x:v>Model Runs · one row per model + prompt version</x:v>
      </x:c>
      <x:c r="Y1" s="284" t="str">
        <x:v>Model Runs · one row per model + prompt version</x:v>
      </x:c>
      <x:c r="Z1" s="284" t="str">
        <x:v>Model Runs · one row per model + prompt version</x:v>
      </x:c>
      <x:c r="AA1" s="284" t="str">
        <x:v>Model Runs · one row per model + prompt version</x:v>
      </x:c>
    </x:row>
    <x:row r="2" ht="32" customHeight="1">
      <x:c r="A2" s="172" t="str">
        <x:v>蓝色 = team input. Run Key must be unique. Default live battery: 32 ordinary runs + 24 negative runs = 56 total.</x:v>
      </x:c>
      <x:c r="B2" s="172" t="str">
        <x:v>蓝色 = team input. Run Key must be unique. Default live battery: 32 ordinary runs + 24 negative runs = 56 total.</x:v>
      </x:c>
      <x:c r="C2" s="172" t="str">
        <x:v>蓝色 = team input. Run Key must be unique. Default live battery: 32 ordinary runs + 24 negative runs = 56 total.</x:v>
      </x:c>
      <x:c r="D2" s="172" t="str">
        <x:v>蓝色 = team input. Run Key must be unique. Default live battery: 32 ordinary runs + 24 negative runs = 56 total.</x:v>
      </x:c>
      <x:c r="E2" s="172" t="str">
        <x:v>蓝色 = team input. Run Key must be unique. Default live battery: 32 ordinary runs + 24 negative runs = 56 total.</x:v>
      </x:c>
      <x:c r="F2" s="172" t="str">
        <x:v>蓝色 = team input. Run Key must be unique. Default live battery: 32 ordinary runs + 24 negative runs = 56 total.</x:v>
      </x:c>
      <x:c r="G2" s="172" t="str">
        <x:v>蓝色 = team input. Run Key must be unique. Default live battery: 32 ordinary runs + 24 negative runs = 56 total.</x:v>
      </x:c>
      <x:c r="H2" s="172" t="str">
        <x:v>蓝色 = team input. Run Key must be unique. Default live battery: 32 ordinary runs + 24 negative runs = 56 total.</x:v>
      </x:c>
      <x:c r="I2" s="172" t="str">
        <x:v>蓝色 = team input. Run Key must be unique. Default live battery: 32 ordinary runs + 24 negative runs = 56 total.</x:v>
      </x:c>
      <x:c r="J2" s="172" t="str">
        <x:v>蓝色 = team input. Run Key must be unique. Default live battery: 32 ordinary runs + 24 negative runs = 56 total.</x:v>
      </x:c>
      <x:c r="K2" s="172" t="str">
        <x:v>蓝色 = team input. Run Key must be unique. Default live battery: 32 ordinary runs + 24 negative runs = 56 total.</x:v>
      </x:c>
      <x:c r="L2" s="172" t="str">
        <x:v>蓝色 = team input. Run Key must be unique. Default live battery: 32 ordinary runs + 24 negative runs = 56 total.</x:v>
      </x:c>
      <x:c r="M2" s="172" t="str">
        <x:v>蓝色 = team input. Run Key must be unique. Default live battery: 32 ordinary runs + 24 negative runs = 56 total.</x:v>
      </x:c>
      <x:c r="N2" s="172" t="str">
        <x:v>蓝色 = team input. Run Key must be unique. Default live battery: 32 ordinary runs + 24 negative runs = 56 total.</x:v>
      </x:c>
      <x:c r="O2" s="172" t="str">
        <x:v>蓝色 = team input. Run Key must be unique. Default live battery: 32 ordinary runs + 24 negative runs = 56 total.</x:v>
      </x:c>
      <x:c r="P2" s="172" t="str">
        <x:v>蓝色 = team input. Run Key must be unique. Default live battery: 32 ordinary runs + 24 negative runs = 56 total.</x:v>
      </x:c>
      <x:c r="Q2" s="172" t="str">
        <x:v>蓝色 = team input. Run Key must be unique. Default live battery: 32 ordinary runs + 24 negative runs = 56 total.</x:v>
      </x:c>
      <x:c r="R2" s="172" t="str">
        <x:v>蓝色 = team input. Run Key must be unique. Default live battery: 32 ordinary runs + 24 negative runs = 56 total.</x:v>
      </x:c>
      <x:c r="S2" s="172" t="str">
        <x:v>蓝色 = team input. Run Key must be unique. Default live battery: 32 ordinary runs + 24 negative runs = 56 total.</x:v>
      </x:c>
      <x:c r="T2" s="172" t="str">
        <x:v>蓝色 = team input. Run Key must be unique. Default live battery: 32 ordinary runs + 24 negative runs = 56 total.</x:v>
      </x:c>
      <x:c r="U2" s="172" t="str">
        <x:v>蓝色 = team input. Run Key must be unique. Default live battery: 32 ordinary runs + 24 negative runs = 56 total.</x:v>
      </x:c>
      <x:c r="V2" s="172" t="str">
        <x:v>蓝色 = team input. Run Key must be unique. Default live battery: 32 ordinary runs + 24 negative runs = 56 total.</x:v>
      </x:c>
      <x:c r="W2" s="172" t="str">
        <x:v>蓝色 = team input. Run Key must be unique. Default live battery: 32 ordinary runs + 24 negative runs = 56 total.</x:v>
      </x:c>
      <x:c r="X2" s="172" t="str">
        <x:v>蓝色 = team input. Run Key must be unique. Default live battery: 32 ordinary runs + 24 negative runs = 56 total.</x:v>
      </x:c>
      <x:c r="Y2" s="172" t="str">
        <x:v>蓝色 = team input. Run Key must be unique. Default live battery: 32 ordinary runs + 24 negative runs = 56 total.</x:v>
      </x:c>
      <x:c r="Z2" s="172" t="str">
        <x:v>蓝色 = team input. Run Key must be unique. Default live battery: 32 ordinary runs + 24 negative runs = 56 total.</x:v>
      </x:c>
      <x:c r="AA2" s="172" t="str">
        <x:v>蓝色 = team input. Run Key must be unique. Default live battery: 32 ordinary runs + 24 negative runs = 56 total.</x:v>
      </x:c>
    </x:row>
    <x:row r="3">
      <x:c r="A3" s="173"/>
      <x:c r="B3" s="173"/>
      <x:c r="C3" s="173"/>
      <x:c r="D3" s="173"/>
      <x:c r="E3" s="173"/>
      <x:c r="F3" s="173"/>
      <x:c r="G3" s="173"/>
      <x:c r="H3" s="173"/>
      <x:c r="I3" s="173"/>
      <x:c r="J3" s="173"/>
      <x:c r="K3" s="173"/>
      <x:c r="L3" s="173"/>
      <x:c r="M3" s="173"/>
      <x:c r="N3" s="173"/>
      <x:c r="O3" s="173"/>
      <x:c r="P3" s="173"/>
      <x:c r="Q3" s="173"/>
      <x:c r="R3" s="173"/>
      <x:c r="S3" s="173"/>
      <x:c r="T3" s="173"/>
      <x:c r="U3" s="173"/>
      <x:c r="V3" s="173"/>
      <x:c r="W3" s="173"/>
      <x:c r="X3" s="173"/>
      <x:c r="Y3" s="173"/>
      <x:c r="Z3" s="173"/>
      <x:c r="AA3" s="173"/>
    </x:row>
    <x:row r="4" ht="38" customHeight="1">
      <x:c r="A4" s="285" t="str">
        <x:v>Run Key
运行键</x:v>
      </x:c>
      <x:c r="B4" s="285" t="str">
        <x:v>Owner
成员</x:v>
      </x:c>
      <x:c r="C4" s="285" t="str">
        <x:v>Model Name
模型</x:v>
      </x:c>
      <x:c r="D4" s="285" t="str">
        <x:v>Family
家族</x:v>
      </x:c>
      <x:c r="E4" s="285" t="str">
        <x:v>Price Tier
价格层</x:v>
      </x:c>
      <x:c r="F4" s="285" t="str">
        <x:v>Prompt
版本</x:v>
      </x:c>
      <x:c r="G4" s="285" t="str">
        <x:v>Backend
后端</x:v>
      </x:c>
      <x:c r="H4" s="285" t="str">
        <x:v>Eval Set
版本</x:v>
      </x:c>
      <x:c r="I4" s="285" t="str">
        <x:v>Run Date
日期</x:v>
      </x:c>
      <x:c r="J4" s="285" t="str">
        <x:v>Ordinary Cases
普通案例</x:v>
      </x:c>
      <x:c r="K4" s="285" t="str">
        <x:v>Ordinary Runs
普通运行</x:v>
      </x:c>
      <x:c r="L4" s="285" t="str">
        <x:v>Negative Cases
负面案例</x:v>
      </x:c>
      <x:c r="M4" s="285" t="str">
        <x:v>Negative Runs
负面运行</x:v>
      </x:c>
      <x:c r="N4" s="285" t="str">
        <x:v>Total Runs
总运行</x:v>
      </x:c>
      <x:c r="O4" s="285" t="str">
        <x:v>Passing Runs
通过数</x:v>
      </x:c>
      <x:c r="P4" s="285" t="str">
        <x:v>Negative Passes
负面通过</x:v>
      </x:c>
      <x:c r="Q4" s="285" t="str">
        <x:v>Overall Pass Rate
总通过率</x:v>
      </x:c>
      <x:c r="R4" s="285" t="str">
        <x:v>Negative Pass Rate
负面通过率</x:v>
      </x:c>
      <x:c r="S4" s="285" t="str">
        <x:v>Input Tokens Total
输入token总数</x:v>
      </x:c>
      <x:c r="T4" s="285" t="str">
        <x:v>Output Tokens Total
输出token总数</x:v>
      </x:c>
      <x:c r="U4" s="285" t="str">
        <x:v>Avg Input/Run
平均输入</x:v>
      </x:c>
      <x:c r="V4" s="285" t="str">
        <x:v>Avg Output/Run
平均输出</x:v>
      </x:c>
      <x:c r="W4" s="285" t="str">
        <x:v>Tool Fees Total USD
工具费总额</x:v>
      </x:c>
      <x:c r="X4" s="285" t="str">
        <x:v>Reported API Cost USD
平台成本</x:v>
      </x:c>
      <x:c r="Y4" s="285" t="str">
        <x:v>Evidence File
证据文件</x:v>
      </x:c>
      <x:c r="Z4" s="285" t="str">
        <x:v>Notes
备注</x:v>
      </x:c>
      <x:c r="AA4" s="285" t="str">
        <x:v>Status
状态</x:v>
      </x:c>
    </x:row>
    <x:row r="5" ht="22" customHeight="1">
      <x:c r="A5" s="197"/>
      <x:c r="B5" s="198"/>
      <x:c r="C5" s="198"/>
      <x:c r="D5" s="198"/>
      <x:c r="E5" s="198"/>
      <x:c r="F5" s="198" t="str">
        <x:v>v2</x:v>
      </x:c>
      <x:c r="G5" s="198" t="str">
        <x:v>live</x:v>
      </x:c>
      <x:c r="H5" s="198"/>
      <x:c r="I5" s="199"/>
      <x:c r="J5" s="198" t="n">
        <x:v>32</x:v>
      </x:c>
      <x:c r="K5" s="198" t="n">
        <x:v>32</x:v>
      </x:c>
      <x:c r="L5" s="198" t="n">
        <x:v>8</x:v>
      </x:c>
      <x:c r="M5" s="200" t="n">
        <x:v>24</x:v>
      </x:c>
      <x:c r="N5" s="201" t="n">
        <x:f>IF(OR(K5="",M5=""),"",K5+M5)</x:f>
        <x:v>56</x:v>
      </x:c>
      <x:c r="O5" s="197"/>
      <x:c r="P5" s="200"/>
      <x:c r="Q5" s="202" t="n">
        <x:f>IFERROR(O5/N5,"")</x:f>
        <x:v>0</x:v>
      </x:c>
      <x:c r="R5" s="203" t="n">
        <x:f>IFERROR(P5/M5,"")</x:f>
        <x:v>0</x:v>
      </x:c>
      <x:c r="S5" s="204"/>
      <x:c r="T5" s="205"/>
      <x:c r="U5" s="206" t="n">
        <x:f>IFERROR(S5/N5,"")</x:f>
        <x:v>0</x:v>
      </x:c>
      <x:c r="V5" s="207" t="n">
        <x:f>IFERROR(T5/N5,"")</x:f>
        <x:v>0</x:v>
      </x:c>
      <x:c r="W5" s="208" t="n">
        <x:v>0</x:v>
      </x:c>
      <x:c r="X5" s="209"/>
      <x:c r="Y5" s="198"/>
      <x:c r="Z5" s="200"/>
      <x:c r="AA5" s="201" t="str">
        <x:f>IF(OR(A5="",B5="",C5="",D5="",E5="",F5="",G5="",H5="",I5="",O5="",P5="",S5="",T5="",Y5=""),"MISSING","READY")</x:f>
        <x:v>MISSING</x:v>
      </x:c>
    </x:row>
    <x:row r="6" ht="22" customHeight="1">
      <x:c r="A6" s="210"/>
      <x:c r="B6" s="211"/>
      <x:c r="C6" s="211"/>
      <x:c r="D6" s="211"/>
      <x:c r="E6" s="211"/>
      <x:c r="F6" s="211" t="str">
        <x:v>v2</x:v>
      </x:c>
      <x:c r="G6" s="211" t="str">
        <x:v>live</x:v>
      </x:c>
      <x:c r="H6" s="211"/>
      <x:c r="I6" s="212"/>
      <x:c r="J6" s="211" t="n">
        <x:v>32</x:v>
      </x:c>
      <x:c r="K6" s="211" t="n">
        <x:v>32</x:v>
      </x:c>
      <x:c r="L6" s="211" t="n">
        <x:v>8</x:v>
      </x:c>
      <x:c r="M6" s="213" t="n">
        <x:v>24</x:v>
      </x:c>
      <x:c r="N6" s="214" t="n">
        <x:f>IF(OR(K6="",M6=""),"",K6+M6)</x:f>
        <x:v>56</x:v>
      </x:c>
      <x:c r="O6" s="210"/>
      <x:c r="P6" s="213"/>
      <x:c r="Q6" s="215" t="n">
        <x:f>IFERROR(O6/N6,"")</x:f>
        <x:v>0</x:v>
      </x:c>
      <x:c r="R6" s="216" t="n">
        <x:f>IFERROR(P6/M6,"")</x:f>
        <x:v>0</x:v>
      </x:c>
      <x:c r="S6" s="217"/>
      <x:c r="T6" s="218"/>
      <x:c r="U6" s="219" t="n">
        <x:f>IFERROR(S6/N6,"")</x:f>
        <x:v>0</x:v>
      </x:c>
      <x:c r="V6" s="220" t="n">
        <x:f>IFERROR(T6/N6,"")</x:f>
        <x:v>0</x:v>
      </x:c>
      <x:c r="W6" s="221" t="n">
        <x:v>0</x:v>
      </x:c>
      <x:c r="X6" s="222"/>
      <x:c r="Y6" s="211"/>
      <x:c r="Z6" s="213"/>
      <x:c r="AA6" s="214" t="str">
        <x:f>IF(OR(A6="",B6="",C6="",D6="",E6="",F6="",G6="",H6="",I6="",O6="",P6="",S6="",T6="",Y6=""),"MISSING","READY")</x:f>
        <x:v>MISSING</x:v>
      </x:c>
    </x:row>
    <x:row r="7" ht="22" customHeight="1">
      <x:c r="A7" s="210"/>
      <x:c r="B7" s="211"/>
      <x:c r="C7" s="211"/>
      <x:c r="D7" s="211"/>
      <x:c r="E7" s="211"/>
      <x:c r="F7" s="211" t="str">
        <x:v>v2</x:v>
      </x:c>
      <x:c r="G7" s="211" t="str">
        <x:v>live</x:v>
      </x:c>
      <x:c r="H7" s="211"/>
      <x:c r="I7" s="212"/>
      <x:c r="J7" s="211" t="n">
        <x:v>32</x:v>
      </x:c>
      <x:c r="K7" s="211" t="n">
        <x:v>32</x:v>
      </x:c>
      <x:c r="L7" s="211" t="n">
        <x:v>8</x:v>
      </x:c>
      <x:c r="M7" s="213" t="n">
        <x:v>24</x:v>
      </x:c>
      <x:c r="N7" s="214" t="n">
        <x:f>IF(OR(K7="",M7=""),"",K7+M7)</x:f>
        <x:v>56</x:v>
      </x:c>
      <x:c r="O7" s="210"/>
      <x:c r="P7" s="213"/>
      <x:c r="Q7" s="215" t="n">
        <x:f>IFERROR(O7/N7,"")</x:f>
        <x:v>0</x:v>
      </x:c>
      <x:c r="R7" s="216" t="n">
        <x:f>IFERROR(P7/M7,"")</x:f>
        <x:v>0</x:v>
      </x:c>
      <x:c r="S7" s="217"/>
      <x:c r="T7" s="218"/>
      <x:c r="U7" s="219" t="n">
        <x:f>IFERROR(S7/N7,"")</x:f>
        <x:v>0</x:v>
      </x:c>
      <x:c r="V7" s="220" t="n">
        <x:f>IFERROR(T7/N7,"")</x:f>
        <x:v>0</x:v>
      </x:c>
      <x:c r="W7" s="221" t="n">
        <x:v>0</x:v>
      </x:c>
      <x:c r="X7" s="222"/>
      <x:c r="Y7" s="211"/>
      <x:c r="Z7" s="213"/>
      <x:c r="AA7" s="214" t="str">
        <x:f>IF(OR(A7="",B7="",C7="",D7="",E7="",F7="",G7="",H7="",I7="",O7="",P7="",S7="",T7="",Y7=""),"MISSING","READY")</x:f>
        <x:v>MISSING</x:v>
      </x:c>
    </x:row>
    <x:row r="8" ht="22" customHeight="1">
      <x:c r="A8" s="210"/>
      <x:c r="B8" s="211"/>
      <x:c r="C8" s="211"/>
      <x:c r="D8" s="211"/>
      <x:c r="E8" s="211"/>
      <x:c r="F8" s="211" t="str">
        <x:v>v2</x:v>
      </x:c>
      <x:c r="G8" s="211" t="str">
        <x:v>live</x:v>
      </x:c>
      <x:c r="H8" s="211"/>
      <x:c r="I8" s="212"/>
      <x:c r="J8" s="211" t="n">
        <x:v>32</x:v>
      </x:c>
      <x:c r="K8" s="211" t="n">
        <x:v>32</x:v>
      </x:c>
      <x:c r="L8" s="211" t="n">
        <x:v>8</x:v>
      </x:c>
      <x:c r="M8" s="213" t="n">
        <x:v>24</x:v>
      </x:c>
      <x:c r="N8" s="214" t="n">
        <x:f>IF(OR(K8="",M8=""),"",K8+M8)</x:f>
        <x:v>56</x:v>
      </x:c>
      <x:c r="O8" s="210"/>
      <x:c r="P8" s="213"/>
      <x:c r="Q8" s="215" t="n">
        <x:f>IFERROR(O8/N8,"")</x:f>
        <x:v>0</x:v>
      </x:c>
      <x:c r="R8" s="216" t="n">
        <x:f>IFERROR(P8/M8,"")</x:f>
        <x:v>0</x:v>
      </x:c>
      <x:c r="S8" s="217"/>
      <x:c r="T8" s="218"/>
      <x:c r="U8" s="219" t="n">
        <x:f>IFERROR(S8/N8,"")</x:f>
        <x:v>0</x:v>
      </x:c>
      <x:c r="V8" s="220" t="n">
        <x:f>IFERROR(T8/N8,"")</x:f>
        <x:v>0</x:v>
      </x:c>
      <x:c r="W8" s="221" t="n">
        <x:v>0</x:v>
      </x:c>
      <x:c r="X8" s="222"/>
      <x:c r="Y8" s="211"/>
      <x:c r="Z8" s="213"/>
      <x:c r="AA8" s="214" t="str">
        <x:f>IF(OR(A8="",B8="",C8="",D8="",E8="",F8="",G8="",H8="",I8="",O8="",P8="",S8="",T8="",Y8=""),"MISSING","READY")</x:f>
        <x:v>MISSING</x:v>
      </x:c>
    </x:row>
    <x:row r="9" ht="22" customHeight="1">
      <x:c r="A9" s="210"/>
      <x:c r="B9" s="211"/>
      <x:c r="C9" s="211"/>
      <x:c r="D9" s="211"/>
      <x:c r="E9" s="211"/>
      <x:c r="F9" s="211" t="str">
        <x:v>v2</x:v>
      </x:c>
      <x:c r="G9" s="211" t="str">
        <x:v>live</x:v>
      </x:c>
      <x:c r="H9" s="211"/>
      <x:c r="I9" s="212"/>
      <x:c r="J9" s="211" t="n">
        <x:v>32</x:v>
      </x:c>
      <x:c r="K9" s="211" t="n">
        <x:v>32</x:v>
      </x:c>
      <x:c r="L9" s="211" t="n">
        <x:v>8</x:v>
      </x:c>
      <x:c r="M9" s="213" t="n">
        <x:v>24</x:v>
      </x:c>
      <x:c r="N9" s="214" t="n">
        <x:f>IF(OR(K9="",M9=""),"",K9+M9)</x:f>
        <x:v>56</x:v>
      </x:c>
      <x:c r="O9" s="210"/>
      <x:c r="P9" s="213"/>
      <x:c r="Q9" s="215" t="n">
        <x:f>IFERROR(O9/N9,"")</x:f>
        <x:v>0</x:v>
      </x:c>
      <x:c r="R9" s="216" t="n">
        <x:f>IFERROR(P9/M9,"")</x:f>
        <x:v>0</x:v>
      </x:c>
      <x:c r="S9" s="217"/>
      <x:c r="T9" s="218"/>
      <x:c r="U9" s="219" t="n">
        <x:f>IFERROR(S9/N9,"")</x:f>
        <x:v>0</x:v>
      </x:c>
      <x:c r="V9" s="220" t="n">
        <x:f>IFERROR(T9/N9,"")</x:f>
        <x:v>0</x:v>
      </x:c>
      <x:c r="W9" s="221" t="n">
        <x:v>0</x:v>
      </x:c>
      <x:c r="X9" s="222"/>
      <x:c r="Y9" s="211"/>
      <x:c r="Z9" s="213"/>
      <x:c r="AA9" s="214" t="str">
        <x:f>IF(OR(A9="",B9="",C9="",D9="",E9="",F9="",G9="",H9="",I9="",O9="",P9="",S9="",T9="",Y9=""),"MISSING","READY")</x:f>
        <x:v>MISSING</x:v>
      </x:c>
    </x:row>
    <x:row r="10" ht="22" customHeight="1">
      <x:c r="A10" s="210"/>
      <x:c r="B10" s="211"/>
      <x:c r="C10" s="211"/>
      <x:c r="D10" s="211"/>
      <x:c r="E10" s="211"/>
      <x:c r="F10" s="211" t="str">
        <x:v>v2</x:v>
      </x:c>
      <x:c r="G10" s="211" t="str">
        <x:v>live</x:v>
      </x:c>
      <x:c r="H10" s="211"/>
      <x:c r="I10" s="212"/>
      <x:c r="J10" s="211" t="n">
        <x:v>32</x:v>
      </x:c>
      <x:c r="K10" s="211" t="n">
        <x:v>32</x:v>
      </x:c>
      <x:c r="L10" s="211" t="n">
        <x:v>8</x:v>
      </x:c>
      <x:c r="M10" s="213" t="n">
        <x:v>24</x:v>
      </x:c>
      <x:c r="N10" s="214" t="n">
        <x:f>IF(OR(K10="",M10=""),"",K10+M10)</x:f>
        <x:v>56</x:v>
      </x:c>
      <x:c r="O10" s="210"/>
      <x:c r="P10" s="213"/>
      <x:c r="Q10" s="215" t="n">
        <x:f>IFERROR(O10/N10,"")</x:f>
        <x:v>0</x:v>
      </x:c>
      <x:c r="R10" s="216" t="n">
        <x:f>IFERROR(P10/M10,"")</x:f>
        <x:v>0</x:v>
      </x:c>
      <x:c r="S10" s="217"/>
      <x:c r="T10" s="218"/>
      <x:c r="U10" s="219" t="n">
        <x:f>IFERROR(S10/N10,"")</x:f>
        <x:v>0</x:v>
      </x:c>
      <x:c r="V10" s="220" t="n">
        <x:f>IFERROR(T10/N10,"")</x:f>
        <x:v>0</x:v>
      </x:c>
      <x:c r="W10" s="221" t="n">
        <x:v>0</x:v>
      </x:c>
      <x:c r="X10" s="222"/>
      <x:c r="Y10" s="211"/>
      <x:c r="Z10" s="213"/>
      <x:c r="AA10" s="214" t="str">
        <x:f>IF(OR(A10="",B10="",C10="",D10="",E10="",F10="",G10="",H10="",I10="",O10="",P10="",S10="",T10="",Y10=""),"MISSING","READY")</x:f>
        <x:v>MISSING</x:v>
      </x:c>
    </x:row>
    <x:row r="11" ht="22" customHeight="1">
      <x:c r="A11" s="210"/>
      <x:c r="B11" s="211"/>
      <x:c r="C11" s="211"/>
      <x:c r="D11" s="211"/>
      <x:c r="E11" s="211"/>
      <x:c r="F11" s="211" t="str">
        <x:v>v2</x:v>
      </x:c>
      <x:c r="G11" s="211" t="str">
        <x:v>live</x:v>
      </x:c>
      <x:c r="H11" s="211"/>
      <x:c r="I11" s="212"/>
      <x:c r="J11" s="211" t="n">
        <x:v>32</x:v>
      </x:c>
      <x:c r="K11" s="211" t="n">
        <x:v>32</x:v>
      </x:c>
      <x:c r="L11" s="211" t="n">
        <x:v>8</x:v>
      </x:c>
      <x:c r="M11" s="213" t="n">
        <x:v>24</x:v>
      </x:c>
      <x:c r="N11" s="214" t="n">
        <x:f>IF(OR(K11="",M11=""),"",K11+M11)</x:f>
        <x:v>56</x:v>
      </x:c>
      <x:c r="O11" s="210"/>
      <x:c r="P11" s="213"/>
      <x:c r="Q11" s="215" t="n">
        <x:f>IFERROR(O11/N11,"")</x:f>
        <x:v>0</x:v>
      </x:c>
      <x:c r="R11" s="216" t="n">
        <x:f>IFERROR(P11/M11,"")</x:f>
        <x:v>0</x:v>
      </x:c>
      <x:c r="S11" s="217"/>
      <x:c r="T11" s="218"/>
      <x:c r="U11" s="219" t="n">
        <x:f>IFERROR(S11/N11,"")</x:f>
        <x:v>0</x:v>
      </x:c>
      <x:c r="V11" s="220" t="n">
        <x:f>IFERROR(T11/N11,"")</x:f>
        <x:v>0</x:v>
      </x:c>
      <x:c r="W11" s="221" t="n">
        <x:v>0</x:v>
      </x:c>
      <x:c r="X11" s="222"/>
      <x:c r="Y11" s="211"/>
      <x:c r="Z11" s="213"/>
      <x:c r="AA11" s="214" t="str">
        <x:f>IF(OR(A11="",B11="",C11="",D11="",E11="",F11="",G11="",H11="",I11="",O11="",P11="",S11="",T11="",Y11=""),"MISSING","READY")</x:f>
        <x:v>MISSING</x:v>
      </x:c>
    </x:row>
    <x:row r="12" ht="22" customHeight="1">
      <x:c r="A12" s="210"/>
      <x:c r="B12" s="211"/>
      <x:c r="C12" s="211"/>
      <x:c r="D12" s="211"/>
      <x:c r="E12" s="211"/>
      <x:c r="F12" s="211" t="str">
        <x:v>v2</x:v>
      </x:c>
      <x:c r="G12" s="211" t="str">
        <x:v>live</x:v>
      </x:c>
      <x:c r="H12" s="211"/>
      <x:c r="I12" s="212"/>
      <x:c r="J12" s="211" t="n">
        <x:v>32</x:v>
      </x:c>
      <x:c r="K12" s="211" t="n">
        <x:v>32</x:v>
      </x:c>
      <x:c r="L12" s="211" t="n">
        <x:v>8</x:v>
      </x:c>
      <x:c r="M12" s="213" t="n">
        <x:v>24</x:v>
      </x:c>
      <x:c r="N12" s="214" t="n">
        <x:f>IF(OR(K12="",M12=""),"",K12+M12)</x:f>
        <x:v>56</x:v>
      </x:c>
      <x:c r="O12" s="210"/>
      <x:c r="P12" s="213"/>
      <x:c r="Q12" s="215" t="n">
        <x:f>IFERROR(O12/N12,"")</x:f>
        <x:v>0</x:v>
      </x:c>
      <x:c r="R12" s="216" t="n">
        <x:f>IFERROR(P12/M12,"")</x:f>
        <x:v>0</x:v>
      </x:c>
      <x:c r="S12" s="217"/>
      <x:c r="T12" s="218"/>
      <x:c r="U12" s="219" t="n">
        <x:f>IFERROR(S12/N12,"")</x:f>
        <x:v>0</x:v>
      </x:c>
      <x:c r="V12" s="220" t="n">
        <x:f>IFERROR(T12/N12,"")</x:f>
        <x:v>0</x:v>
      </x:c>
      <x:c r="W12" s="221" t="n">
        <x:v>0</x:v>
      </x:c>
      <x:c r="X12" s="222"/>
      <x:c r="Y12" s="211"/>
      <x:c r="Z12" s="213"/>
      <x:c r="AA12" s="214" t="str">
        <x:f>IF(OR(A12="",B12="",C12="",D12="",E12="",F12="",G12="",H12="",I12="",O12="",P12="",S12="",T12="",Y12=""),"MISSING","READY")</x:f>
        <x:v>MISSING</x:v>
      </x:c>
    </x:row>
    <x:row r="13" ht="22" customHeight="1">
      <x:c r="A13" s="210"/>
      <x:c r="B13" s="211"/>
      <x:c r="C13" s="211"/>
      <x:c r="D13" s="211"/>
      <x:c r="E13" s="211"/>
      <x:c r="F13" s="211" t="str">
        <x:v>v2</x:v>
      </x:c>
      <x:c r="G13" s="211" t="str">
        <x:v>live</x:v>
      </x:c>
      <x:c r="H13" s="211"/>
      <x:c r="I13" s="212"/>
      <x:c r="J13" s="211" t="n">
        <x:v>32</x:v>
      </x:c>
      <x:c r="K13" s="211" t="n">
        <x:v>32</x:v>
      </x:c>
      <x:c r="L13" s="211" t="n">
        <x:v>8</x:v>
      </x:c>
      <x:c r="M13" s="213" t="n">
        <x:v>24</x:v>
      </x:c>
      <x:c r="N13" s="214" t="n">
        <x:f>IF(OR(K13="",M13=""),"",K13+M13)</x:f>
        <x:v>56</x:v>
      </x:c>
      <x:c r="O13" s="210"/>
      <x:c r="P13" s="213"/>
      <x:c r="Q13" s="215" t="n">
        <x:f>IFERROR(O13/N13,"")</x:f>
        <x:v>0</x:v>
      </x:c>
      <x:c r="R13" s="216" t="n">
        <x:f>IFERROR(P13/M13,"")</x:f>
        <x:v>0</x:v>
      </x:c>
      <x:c r="S13" s="217"/>
      <x:c r="T13" s="218"/>
      <x:c r="U13" s="219" t="n">
        <x:f>IFERROR(S13/N13,"")</x:f>
        <x:v>0</x:v>
      </x:c>
      <x:c r="V13" s="220" t="n">
        <x:f>IFERROR(T13/N13,"")</x:f>
        <x:v>0</x:v>
      </x:c>
      <x:c r="W13" s="221" t="n">
        <x:v>0</x:v>
      </x:c>
      <x:c r="X13" s="222"/>
      <x:c r="Y13" s="211"/>
      <x:c r="Z13" s="213"/>
      <x:c r="AA13" s="214" t="str">
        <x:f>IF(OR(A13="",B13="",C13="",D13="",E13="",F13="",G13="",H13="",I13="",O13="",P13="",S13="",T13="",Y13=""),"MISSING","READY")</x:f>
        <x:v>MISSING</x:v>
      </x:c>
    </x:row>
    <x:row r="14" ht="22" customHeight="1">
      <x:c r="A14" s="210"/>
      <x:c r="B14" s="211"/>
      <x:c r="C14" s="211"/>
      <x:c r="D14" s="211"/>
      <x:c r="E14" s="211"/>
      <x:c r="F14" s="211" t="str">
        <x:v>v2</x:v>
      </x:c>
      <x:c r="G14" s="211" t="str">
        <x:v>live</x:v>
      </x:c>
      <x:c r="H14" s="211"/>
      <x:c r="I14" s="212"/>
      <x:c r="J14" s="211" t="n">
        <x:v>32</x:v>
      </x:c>
      <x:c r="K14" s="211" t="n">
        <x:v>32</x:v>
      </x:c>
      <x:c r="L14" s="211" t="n">
        <x:v>8</x:v>
      </x:c>
      <x:c r="M14" s="213" t="n">
        <x:v>24</x:v>
      </x:c>
      <x:c r="N14" s="214" t="n">
        <x:f>IF(OR(K14="",M14=""),"",K14+M14)</x:f>
        <x:v>56</x:v>
      </x:c>
      <x:c r="O14" s="210"/>
      <x:c r="P14" s="213"/>
      <x:c r="Q14" s="215" t="n">
        <x:f>IFERROR(O14/N14,"")</x:f>
        <x:v>0</x:v>
      </x:c>
      <x:c r="R14" s="216" t="n">
        <x:f>IFERROR(P14/M14,"")</x:f>
        <x:v>0</x:v>
      </x:c>
      <x:c r="S14" s="217"/>
      <x:c r="T14" s="218"/>
      <x:c r="U14" s="219" t="n">
        <x:f>IFERROR(S14/N14,"")</x:f>
        <x:v>0</x:v>
      </x:c>
      <x:c r="V14" s="220" t="n">
        <x:f>IFERROR(T14/N14,"")</x:f>
        <x:v>0</x:v>
      </x:c>
      <x:c r="W14" s="221" t="n">
        <x:v>0</x:v>
      </x:c>
      <x:c r="X14" s="222"/>
      <x:c r="Y14" s="211"/>
      <x:c r="Z14" s="213"/>
      <x:c r="AA14" s="214" t="str">
        <x:f>IF(OR(A14="",B14="",C14="",D14="",E14="",F14="",G14="",H14="",I14="",O14="",P14="",S14="",T14="",Y14=""),"MISSING","READY")</x:f>
        <x:v>MISSING</x:v>
      </x:c>
    </x:row>
    <x:row r="15" ht="22" customHeight="1">
      <x:c r="A15" s="210"/>
      <x:c r="B15" s="211"/>
      <x:c r="C15" s="211"/>
      <x:c r="D15" s="211"/>
      <x:c r="E15" s="211"/>
      <x:c r="F15" s="211" t="str">
        <x:v>v2</x:v>
      </x:c>
      <x:c r="G15" s="211" t="str">
        <x:v>live</x:v>
      </x:c>
      <x:c r="H15" s="211"/>
      <x:c r="I15" s="212"/>
      <x:c r="J15" s="211" t="n">
        <x:v>32</x:v>
      </x:c>
      <x:c r="K15" s="211" t="n">
        <x:v>32</x:v>
      </x:c>
      <x:c r="L15" s="211" t="n">
        <x:v>8</x:v>
      </x:c>
      <x:c r="M15" s="213" t="n">
        <x:v>24</x:v>
      </x:c>
      <x:c r="N15" s="214" t="n">
        <x:f>IF(OR(K15="",M15=""),"",K15+M15)</x:f>
        <x:v>56</x:v>
      </x:c>
      <x:c r="O15" s="210"/>
      <x:c r="P15" s="213"/>
      <x:c r="Q15" s="215" t="n">
        <x:f>IFERROR(O15/N15,"")</x:f>
        <x:v>0</x:v>
      </x:c>
      <x:c r="R15" s="216" t="n">
        <x:f>IFERROR(P15/M15,"")</x:f>
        <x:v>0</x:v>
      </x:c>
      <x:c r="S15" s="217"/>
      <x:c r="T15" s="218"/>
      <x:c r="U15" s="219" t="n">
        <x:f>IFERROR(S15/N15,"")</x:f>
        <x:v>0</x:v>
      </x:c>
      <x:c r="V15" s="220" t="n">
        <x:f>IFERROR(T15/N15,"")</x:f>
        <x:v>0</x:v>
      </x:c>
      <x:c r="W15" s="221" t="n">
        <x:v>0</x:v>
      </x:c>
      <x:c r="X15" s="222"/>
      <x:c r="Y15" s="211"/>
      <x:c r="Z15" s="213"/>
      <x:c r="AA15" s="214" t="str">
        <x:f>IF(OR(A15="",B15="",C15="",D15="",E15="",F15="",G15="",H15="",I15="",O15="",P15="",S15="",T15="",Y15=""),"MISSING","READY")</x:f>
        <x:v>MISSING</x:v>
      </x:c>
    </x:row>
    <x:row r="16" ht="22" customHeight="1">
      <x:c r="A16" s="210"/>
      <x:c r="B16" s="211"/>
      <x:c r="C16" s="211"/>
      <x:c r="D16" s="211"/>
      <x:c r="E16" s="211"/>
      <x:c r="F16" s="211" t="str">
        <x:v>v2</x:v>
      </x:c>
      <x:c r="G16" s="211" t="str">
        <x:v>live</x:v>
      </x:c>
      <x:c r="H16" s="211"/>
      <x:c r="I16" s="212"/>
      <x:c r="J16" s="211" t="n">
        <x:v>32</x:v>
      </x:c>
      <x:c r="K16" s="211" t="n">
        <x:v>32</x:v>
      </x:c>
      <x:c r="L16" s="211" t="n">
        <x:v>8</x:v>
      </x:c>
      <x:c r="M16" s="213" t="n">
        <x:v>24</x:v>
      </x:c>
      <x:c r="N16" s="214" t="n">
        <x:f>IF(OR(K16="",M16=""),"",K16+M16)</x:f>
        <x:v>56</x:v>
      </x:c>
      <x:c r="O16" s="210"/>
      <x:c r="P16" s="213"/>
      <x:c r="Q16" s="215" t="n">
        <x:f>IFERROR(O16/N16,"")</x:f>
        <x:v>0</x:v>
      </x:c>
      <x:c r="R16" s="216" t="n">
        <x:f>IFERROR(P16/M16,"")</x:f>
        <x:v>0</x:v>
      </x:c>
      <x:c r="S16" s="217"/>
      <x:c r="T16" s="218"/>
      <x:c r="U16" s="219" t="n">
        <x:f>IFERROR(S16/N16,"")</x:f>
        <x:v>0</x:v>
      </x:c>
      <x:c r="V16" s="220" t="n">
        <x:f>IFERROR(T16/N16,"")</x:f>
        <x:v>0</x:v>
      </x:c>
      <x:c r="W16" s="221" t="n">
        <x:v>0</x:v>
      </x:c>
      <x:c r="X16" s="222"/>
      <x:c r="Y16" s="211"/>
      <x:c r="Z16" s="213"/>
      <x:c r="AA16" s="214" t="str">
        <x:f>IF(OR(A16="",B16="",C16="",D16="",E16="",F16="",G16="",H16="",I16="",O16="",P16="",S16="",T16="",Y16=""),"MISSING","READY")</x:f>
        <x:v>MISSING</x:v>
      </x:c>
    </x:row>
    <x:row r="17" ht="22" customHeight="1">
      <x:c r="A17" s="210"/>
      <x:c r="B17" s="211"/>
      <x:c r="C17" s="211"/>
      <x:c r="D17" s="211"/>
      <x:c r="E17" s="211"/>
      <x:c r="F17" s="211" t="str">
        <x:v>v2</x:v>
      </x:c>
      <x:c r="G17" s="211" t="str">
        <x:v>live</x:v>
      </x:c>
      <x:c r="H17" s="211"/>
      <x:c r="I17" s="212"/>
      <x:c r="J17" s="211" t="n">
        <x:v>32</x:v>
      </x:c>
      <x:c r="K17" s="211" t="n">
        <x:v>32</x:v>
      </x:c>
      <x:c r="L17" s="211" t="n">
        <x:v>8</x:v>
      </x:c>
      <x:c r="M17" s="213" t="n">
        <x:v>24</x:v>
      </x:c>
      <x:c r="N17" s="214" t="n">
        <x:f>IF(OR(K17="",M17=""),"",K17+M17)</x:f>
        <x:v>56</x:v>
      </x:c>
      <x:c r="O17" s="210"/>
      <x:c r="P17" s="213"/>
      <x:c r="Q17" s="215" t="n">
        <x:f>IFERROR(O17/N17,"")</x:f>
        <x:v>0</x:v>
      </x:c>
      <x:c r="R17" s="216" t="n">
        <x:f>IFERROR(P17/M17,"")</x:f>
        <x:v>0</x:v>
      </x:c>
      <x:c r="S17" s="217"/>
      <x:c r="T17" s="218"/>
      <x:c r="U17" s="219" t="n">
        <x:f>IFERROR(S17/N17,"")</x:f>
        <x:v>0</x:v>
      </x:c>
      <x:c r="V17" s="220" t="n">
        <x:f>IFERROR(T17/N17,"")</x:f>
        <x:v>0</x:v>
      </x:c>
      <x:c r="W17" s="221" t="n">
        <x:v>0</x:v>
      </x:c>
      <x:c r="X17" s="222"/>
      <x:c r="Y17" s="211"/>
      <x:c r="Z17" s="213"/>
      <x:c r="AA17" s="214" t="str">
        <x:f>IF(OR(A17="",B17="",C17="",D17="",E17="",F17="",G17="",H17="",I17="",O17="",P17="",S17="",T17="",Y17=""),"MISSING","READY")</x:f>
        <x:v>MISSING</x:v>
      </x:c>
    </x:row>
    <x:row r="18" ht="22" customHeight="1">
      <x:c r="A18" s="210"/>
      <x:c r="B18" s="211"/>
      <x:c r="C18" s="211"/>
      <x:c r="D18" s="211"/>
      <x:c r="E18" s="211"/>
      <x:c r="F18" s="211" t="str">
        <x:v>v2</x:v>
      </x:c>
      <x:c r="G18" s="211" t="str">
        <x:v>live</x:v>
      </x:c>
      <x:c r="H18" s="211"/>
      <x:c r="I18" s="212"/>
      <x:c r="J18" s="211" t="n">
        <x:v>32</x:v>
      </x:c>
      <x:c r="K18" s="211" t="n">
        <x:v>32</x:v>
      </x:c>
      <x:c r="L18" s="211" t="n">
        <x:v>8</x:v>
      </x:c>
      <x:c r="M18" s="213" t="n">
        <x:v>24</x:v>
      </x:c>
      <x:c r="N18" s="214" t="n">
        <x:f>IF(OR(K18="",M18=""),"",K18+M18)</x:f>
        <x:v>56</x:v>
      </x:c>
      <x:c r="O18" s="210"/>
      <x:c r="P18" s="213"/>
      <x:c r="Q18" s="215" t="n">
        <x:f>IFERROR(O18/N18,"")</x:f>
        <x:v>0</x:v>
      </x:c>
      <x:c r="R18" s="216" t="n">
        <x:f>IFERROR(P18/M18,"")</x:f>
        <x:v>0</x:v>
      </x:c>
      <x:c r="S18" s="217"/>
      <x:c r="T18" s="218"/>
      <x:c r="U18" s="219" t="n">
        <x:f>IFERROR(S18/N18,"")</x:f>
        <x:v>0</x:v>
      </x:c>
      <x:c r="V18" s="220" t="n">
        <x:f>IFERROR(T18/N18,"")</x:f>
        <x:v>0</x:v>
      </x:c>
      <x:c r="W18" s="221" t="n">
        <x:v>0</x:v>
      </x:c>
      <x:c r="X18" s="222"/>
      <x:c r="Y18" s="211"/>
      <x:c r="Z18" s="213"/>
      <x:c r="AA18" s="214" t="str">
        <x:f>IF(OR(A18="",B18="",C18="",D18="",E18="",F18="",G18="",H18="",I18="",O18="",P18="",S18="",T18="",Y18=""),"MISSING","READY")</x:f>
        <x:v>MISSING</x:v>
      </x:c>
    </x:row>
    <x:row r="19" ht="22" customHeight="1">
      <x:c r="A19" s="210"/>
      <x:c r="B19" s="211"/>
      <x:c r="C19" s="211"/>
      <x:c r="D19" s="211"/>
      <x:c r="E19" s="211"/>
      <x:c r="F19" s="211" t="str">
        <x:v>v2</x:v>
      </x:c>
      <x:c r="G19" s="211" t="str">
        <x:v>live</x:v>
      </x:c>
      <x:c r="H19" s="211"/>
      <x:c r="I19" s="212"/>
      <x:c r="J19" s="211" t="n">
        <x:v>32</x:v>
      </x:c>
      <x:c r="K19" s="211" t="n">
        <x:v>32</x:v>
      </x:c>
      <x:c r="L19" s="211" t="n">
        <x:v>8</x:v>
      </x:c>
      <x:c r="M19" s="213" t="n">
        <x:v>24</x:v>
      </x:c>
      <x:c r="N19" s="214" t="n">
        <x:f>IF(OR(K19="",M19=""),"",K19+M19)</x:f>
        <x:v>56</x:v>
      </x:c>
      <x:c r="O19" s="210"/>
      <x:c r="P19" s="213"/>
      <x:c r="Q19" s="215" t="n">
        <x:f>IFERROR(O19/N19,"")</x:f>
        <x:v>0</x:v>
      </x:c>
      <x:c r="R19" s="216" t="n">
        <x:f>IFERROR(P19/M19,"")</x:f>
        <x:v>0</x:v>
      </x:c>
      <x:c r="S19" s="217"/>
      <x:c r="T19" s="218"/>
      <x:c r="U19" s="219" t="n">
        <x:f>IFERROR(S19/N19,"")</x:f>
        <x:v>0</x:v>
      </x:c>
      <x:c r="V19" s="220" t="n">
        <x:f>IFERROR(T19/N19,"")</x:f>
        <x:v>0</x:v>
      </x:c>
      <x:c r="W19" s="221" t="n">
        <x:v>0</x:v>
      </x:c>
      <x:c r="X19" s="222"/>
      <x:c r="Y19" s="211"/>
      <x:c r="Z19" s="213"/>
      <x:c r="AA19" s="214" t="str">
        <x:f>IF(OR(A19="",B19="",C19="",D19="",E19="",F19="",G19="",H19="",I19="",O19="",P19="",S19="",T19="",Y19=""),"MISSING","READY")</x:f>
        <x:v>MISSING</x:v>
      </x:c>
    </x:row>
    <x:row r="20" ht="22" customHeight="1">
      <x:c r="A20" s="210"/>
      <x:c r="B20" s="211"/>
      <x:c r="C20" s="211"/>
      <x:c r="D20" s="211"/>
      <x:c r="E20" s="211"/>
      <x:c r="F20" s="211" t="str">
        <x:v>v2</x:v>
      </x:c>
      <x:c r="G20" s="211" t="str">
        <x:v>live</x:v>
      </x:c>
      <x:c r="H20" s="211"/>
      <x:c r="I20" s="212"/>
      <x:c r="J20" s="211" t="n">
        <x:v>32</x:v>
      </x:c>
      <x:c r="K20" s="211" t="n">
        <x:v>32</x:v>
      </x:c>
      <x:c r="L20" s="211" t="n">
        <x:v>8</x:v>
      </x:c>
      <x:c r="M20" s="213" t="n">
        <x:v>24</x:v>
      </x:c>
      <x:c r="N20" s="214" t="n">
        <x:f>IF(OR(K20="",M20=""),"",K20+M20)</x:f>
        <x:v>56</x:v>
      </x:c>
      <x:c r="O20" s="210"/>
      <x:c r="P20" s="213"/>
      <x:c r="Q20" s="215" t="n">
        <x:f>IFERROR(O20/N20,"")</x:f>
        <x:v>0</x:v>
      </x:c>
      <x:c r="R20" s="216" t="n">
        <x:f>IFERROR(P20/M20,"")</x:f>
        <x:v>0</x:v>
      </x:c>
      <x:c r="S20" s="217"/>
      <x:c r="T20" s="218"/>
      <x:c r="U20" s="219" t="n">
        <x:f>IFERROR(S20/N20,"")</x:f>
        <x:v>0</x:v>
      </x:c>
      <x:c r="V20" s="220" t="n">
        <x:f>IFERROR(T20/N20,"")</x:f>
        <x:v>0</x:v>
      </x:c>
      <x:c r="W20" s="221" t="n">
        <x:v>0</x:v>
      </x:c>
      <x:c r="X20" s="222"/>
      <x:c r="Y20" s="211"/>
      <x:c r="Z20" s="213"/>
      <x:c r="AA20" s="214" t="str">
        <x:f>IF(OR(A20="",B20="",C20="",D20="",E20="",F20="",G20="",H20="",I20="",O20="",P20="",S20="",T20="",Y20=""),"MISSING","READY")</x:f>
        <x:v>MISSING</x:v>
      </x:c>
    </x:row>
    <x:row r="21" ht="22" customHeight="1">
      <x:c r="A21" s="210"/>
      <x:c r="B21" s="211"/>
      <x:c r="C21" s="211"/>
      <x:c r="D21" s="211"/>
      <x:c r="E21" s="211"/>
      <x:c r="F21" s="211" t="str">
        <x:v>v2</x:v>
      </x:c>
      <x:c r="G21" s="211" t="str">
        <x:v>live</x:v>
      </x:c>
      <x:c r="H21" s="211"/>
      <x:c r="I21" s="212"/>
      <x:c r="J21" s="211" t="n">
        <x:v>32</x:v>
      </x:c>
      <x:c r="K21" s="211" t="n">
        <x:v>32</x:v>
      </x:c>
      <x:c r="L21" s="211" t="n">
        <x:v>8</x:v>
      </x:c>
      <x:c r="M21" s="213" t="n">
        <x:v>24</x:v>
      </x:c>
      <x:c r="N21" s="214" t="n">
        <x:f>IF(OR(K21="",M21=""),"",K21+M21)</x:f>
        <x:v>56</x:v>
      </x:c>
      <x:c r="O21" s="210"/>
      <x:c r="P21" s="213"/>
      <x:c r="Q21" s="215" t="n">
        <x:f>IFERROR(O21/N21,"")</x:f>
        <x:v>0</x:v>
      </x:c>
      <x:c r="R21" s="216" t="n">
        <x:f>IFERROR(P21/M21,"")</x:f>
        <x:v>0</x:v>
      </x:c>
      <x:c r="S21" s="217"/>
      <x:c r="T21" s="218"/>
      <x:c r="U21" s="219" t="n">
        <x:f>IFERROR(S21/N21,"")</x:f>
        <x:v>0</x:v>
      </x:c>
      <x:c r="V21" s="220" t="n">
        <x:f>IFERROR(T21/N21,"")</x:f>
        <x:v>0</x:v>
      </x:c>
      <x:c r="W21" s="221" t="n">
        <x:v>0</x:v>
      </x:c>
      <x:c r="X21" s="222"/>
      <x:c r="Y21" s="211"/>
      <x:c r="Z21" s="213"/>
      <x:c r="AA21" s="214" t="str">
        <x:f>IF(OR(A21="",B21="",C21="",D21="",E21="",F21="",G21="",H21="",I21="",O21="",P21="",S21="",T21="",Y21=""),"MISSING","READY")</x:f>
        <x:v>MISSING</x:v>
      </x:c>
    </x:row>
    <x:row r="22" ht="22" customHeight="1">
      <x:c r="A22" s="210"/>
      <x:c r="B22" s="211"/>
      <x:c r="C22" s="211"/>
      <x:c r="D22" s="211"/>
      <x:c r="E22" s="211"/>
      <x:c r="F22" s="211" t="str">
        <x:v>v2</x:v>
      </x:c>
      <x:c r="G22" s="211" t="str">
        <x:v>live</x:v>
      </x:c>
      <x:c r="H22" s="211"/>
      <x:c r="I22" s="212"/>
      <x:c r="J22" s="211" t="n">
        <x:v>32</x:v>
      </x:c>
      <x:c r="K22" s="211" t="n">
        <x:v>32</x:v>
      </x:c>
      <x:c r="L22" s="211" t="n">
        <x:v>8</x:v>
      </x:c>
      <x:c r="M22" s="213" t="n">
        <x:v>24</x:v>
      </x:c>
      <x:c r="N22" s="214" t="n">
        <x:f>IF(OR(K22="",M22=""),"",K22+M22)</x:f>
        <x:v>56</x:v>
      </x:c>
      <x:c r="O22" s="210"/>
      <x:c r="P22" s="213"/>
      <x:c r="Q22" s="215" t="n">
        <x:f>IFERROR(O22/N22,"")</x:f>
        <x:v>0</x:v>
      </x:c>
      <x:c r="R22" s="216" t="n">
        <x:f>IFERROR(P22/M22,"")</x:f>
        <x:v>0</x:v>
      </x:c>
      <x:c r="S22" s="217"/>
      <x:c r="T22" s="218"/>
      <x:c r="U22" s="219" t="n">
        <x:f>IFERROR(S22/N22,"")</x:f>
        <x:v>0</x:v>
      </x:c>
      <x:c r="V22" s="220" t="n">
        <x:f>IFERROR(T22/N22,"")</x:f>
        <x:v>0</x:v>
      </x:c>
      <x:c r="W22" s="221" t="n">
        <x:v>0</x:v>
      </x:c>
      <x:c r="X22" s="222"/>
      <x:c r="Y22" s="211"/>
      <x:c r="Z22" s="213"/>
      <x:c r="AA22" s="214" t="str">
        <x:f>IF(OR(A22="",B22="",C22="",D22="",E22="",F22="",G22="",H22="",I22="",O22="",P22="",S22="",T22="",Y22=""),"MISSING","READY")</x:f>
        <x:v>MISSING</x:v>
      </x:c>
    </x:row>
    <x:row r="23" ht="22" customHeight="1">
      <x:c r="A23" s="210"/>
      <x:c r="B23" s="211"/>
      <x:c r="C23" s="211"/>
      <x:c r="D23" s="211"/>
      <x:c r="E23" s="211"/>
      <x:c r="F23" s="211" t="str">
        <x:v>v2</x:v>
      </x:c>
      <x:c r="G23" s="211" t="str">
        <x:v>live</x:v>
      </x:c>
      <x:c r="H23" s="211"/>
      <x:c r="I23" s="212"/>
      <x:c r="J23" s="211" t="n">
        <x:v>32</x:v>
      </x:c>
      <x:c r="K23" s="211" t="n">
        <x:v>32</x:v>
      </x:c>
      <x:c r="L23" s="211" t="n">
        <x:v>8</x:v>
      </x:c>
      <x:c r="M23" s="213" t="n">
        <x:v>24</x:v>
      </x:c>
      <x:c r="N23" s="214" t="n">
        <x:f>IF(OR(K23="",M23=""),"",K23+M23)</x:f>
        <x:v>56</x:v>
      </x:c>
      <x:c r="O23" s="210"/>
      <x:c r="P23" s="213"/>
      <x:c r="Q23" s="215" t="n">
        <x:f>IFERROR(O23/N23,"")</x:f>
        <x:v>0</x:v>
      </x:c>
      <x:c r="R23" s="216" t="n">
        <x:f>IFERROR(P23/M23,"")</x:f>
        <x:v>0</x:v>
      </x:c>
      <x:c r="S23" s="217"/>
      <x:c r="T23" s="218"/>
      <x:c r="U23" s="219" t="n">
        <x:f>IFERROR(S23/N23,"")</x:f>
        <x:v>0</x:v>
      </x:c>
      <x:c r="V23" s="220" t="n">
        <x:f>IFERROR(T23/N23,"")</x:f>
        <x:v>0</x:v>
      </x:c>
      <x:c r="W23" s="221" t="n">
        <x:v>0</x:v>
      </x:c>
      <x:c r="X23" s="222"/>
      <x:c r="Y23" s="211"/>
      <x:c r="Z23" s="213"/>
      <x:c r="AA23" s="214" t="str">
        <x:f>IF(OR(A23="",B23="",C23="",D23="",E23="",F23="",G23="",H23="",I23="",O23="",P23="",S23="",T23="",Y23=""),"MISSING","READY")</x:f>
        <x:v>MISSING</x:v>
      </x:c>
    </x:row>
    <x:row r="24" ht="22" customHeight="1">
      <x:c r="A24" s="223"/>
      <x:c r="B24" s="224"/>
      <x:c r="C24" s="224"/>
      <x:c r="D24" s="224"/>
      <x:c r="E24" s="224"/>
      <x:c r="F24" s="224" t="str">
        <x:v>v2</x:v>
      </x:c>
      <x:c r="G24" s="224" t="str">
        <x:v>live</x:v>
      </x:c>
      <x:c r="H24" s="224"/>
      <x:c r="I24" s="225"/>
      <x:c r="J24" s="224" t="n">
        <x:v>32</x:v>
      </x:c>
      <x:c r="K24" s="224" t="n">
        <x:v>32</x:v>
      </x:c>
      <x:c r="L24" s="224" t="n">
        <x:v>8</x:v>
      </x:c>
      <x:c r="M24" s="226" t="n">
        <x:v>24</x:v>
      </x:c>
      <x:c r="N24" s="227" t="n">
        <x:f>IF(OR(K24="",M24=""),"",K24+M24)</x:f>
        <x:v>56</x:v>
      </x:c>
      <x:c r="O24" s="223"/>
      <x:c r="P24" s="226"/>
      <x:c r="Q24" s="228" t="n">
        <x:f>IFERROR(O24/N24,"")</x:f>
        <x:v>0</x:v>
      </x:c>
      <x:c r="R24" s="229" t="n">
        <x:f>IFERROR(P24/M24,"")</x:f>
        <x:v>0</x:v>
      </x:c>
      <x:c r="S24" s="230"/>
      <x:c r="T24" s="231"/>
      <x:c r="U24" s="232" t="n">
        <x:f>IFERROR(S24/N24,"")</x:f>
        <x:v>0</x:v>
      </x:c>
      <x:c r="V24" s="233" t="n">
        <x:f>IFERROR(T24/N24,"")</x:f>
        <x:v>0</x:v>
      </x:c>
      <x:c r="W24" s="234" t="n">
        <x:v>0</x:v>
      </x:c>
      <x:c r="X24" s="235"/>
      <x:c r="Y24" s="224"/>
      <x:c r="Z24" s="226"/>
      <x:c r="AA24" s="227" t="str">
        <x:f>IF(OR(A24="",B24="",C24="",D24="",E24="",F24="",G24="",H24="",I24="",O24="",P24="",S24="",T24="",Y24=""),"MISSING","READY")</x:f>
        <x:v>MISSING</x:v>
      </x:c>
    </x:row>
  </x:sheetData>
  <x:mergeCells>
    <x:mergeCell ref="A1:AA1"/>
    <x:mergeCell ref="A2:AA2"/>
  </x:mergeCells>
  <x:conditionalFormatting sqref="AA5:AA24">
    <x:cfRule type="containsText" dxfId="0" priority="1" operator="containsText" text="READY"/>
    <x:cfRule type="containsText" dxfId="1" priority="2" operator="containsText" text="MISSING"/>
  </x:conditionalFormatting>
  <x:dataValidations count="3">
    <x:dataValidation type="list" sqref="E5:E24">
      <x:formula1>"Cheap,Mid,Frontier"</x:formula1>
    </x:dataValidation>
    <x:dataValidation type="list" sqref="F5:F24">
      <x:formula1>"v1,v2"</x:formula1>
    </x:dataValidation>
    <x:dataValidation type="list" sqref="G5:G24">
      <x:formula1>"live,scripted"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7" hidden="0" customWidth="1"/>
    <x:col min="5" max="5" width="17" hidden="0" customWidth="1"/>
    <x:col min="6" max="6" width="38" hidden="0" customWidth="1"/>
    <x:col min="7" max="7" width="15" hidden="0" customWidth="1"/>
    <x:col min="8" max="8" width="28" hidden="0" customWidth="1"/>
  </x:cols>
  <x:sheetData>
    <x:row r="1" ht="30" customHeight="1">
      <x:c r="A1" s="284" t="str">
        <x:v>Model Prices · verified pricing inputs</x:v>
      </x:c>
      <x:c r="B1" s="284" t="str">
        <x:v>Model Prices · verified pricing inputs</x:v>
      </x:c>
      <x:c r="C1" s="284" t="str">
        <x:v>Model Prices · verified pricing inputs</x:v>
      </x:c>
      <x:c r="D1" s="284" t="str">
        <x:v>Model Prices · verified pricing inputs</x:v>
      </x:c>
      <x:c r="E1" s="284" t="str">
        <x:v>Model Prices · verified pricing inputs</x:v>
      </x:c>
      <x:c r="F1" s="284" t="str">
        <x:v>Model Prices · verified pricing inputs</x:v>
      </x:c>
      <x:c r="G1" s="284" t="str">
        <x:v>Model Prices · verified pricing inputs</x:v>
      </x:c>
      <x:c r="H1" s="284" t="str">
        <x:v>Model Prices · verified pricing inputs</x:v>
      </x:c>
    </x:row>
    <x:row r="2" ht="32" customHeight="1">
      <x:c r="A2" s="172" t="str">
        <x:v>Use the exact model name used in Model Runs. Record prices in USD per 1 million tokens and preserve the source trail.</x:v>
      </x:c>
      <x:c r="B2" s="172" t="str">
        <x:v>Use the exact model name used in Model Runs. Record prices in USD per 1 million tokens and preserve the source trail.</x:v>
      </x:c>
      <x:c r="C2" s="172" t="str">
        <x:v>Use the exact model name used in Model Runs. Record prices in USD per 1 million tokens and preserve the source trail.</x:v>
      </x:c>
      <x:c r="D2" s="172" t="str">
        <x:v>Use the exact model name used in Model Runs. Record prices in USD per 1 million tokens and preserve the source trail.</x:v>
      </x:c>
      <x:c r="E2" s="172" t="str">
        <x:v>Use the exact model name used in Model Runs. Record prices in USD per 1 million tokens and preserve the source trail.</x:v>
      </x:c>
      <x:c r="F2" s="172" t="str">
        <x:v>Use the exact model name used in Model Runs. Record prices in USD per 1 million tokens and preserve the source trail.</x:v>
      </x:c>
      <x:c r="G2" s="172" t="str">
        <x:v>Use the exact model name used in Model Runs. Record prices in USD per 1 million tokens and preserve the source trail.</x:v>
      </x:c>
      <x:c r="H2" s="172" t="str">
        <x:v>Use the exact model name used in Model Runs. Record prices in USD per 1 million tokens and preserve the source trail.</x:v>
      </x:c>
    </x:row>
    <x:row r="3">
      <x:c r="A3" s="173"/>
      <x:c r="B3" s="173"/>
      <x:c r="C3" s="173"/>
      <x:c r="D3" s="173"/>
      <x:c r="E3" s="173"/>
      <x:c r="F3" s="173"/>
      <x:c r="G3" s="173"/>
      <x:c r="H3" s="173"/>
    </x:row>
    <x:row r="4" ht="38" customHeight="1">
      <x:c r="A4" s="285" t="str">
        <x:v>Model Name
模型</x:v>
      </x:c>
      <x:c r="B4" s="285" t="str">
        <x:v>Family
家族</x:v>
      </x:c>
      <x:c r="C4" s="285" t="str">
        <x:v>Price Tier
价格层</x:v>
      </x:c>
      <x:c r="D4" s="285" t="str">
        <x:v>Input USD / 1M
输入价格</x:v>
      </x:c>
      <x:c r="E4" s="285" t="str">
        <x:v>Output USD / 1M
输出价格</x:v>
      </x:c>
      <x:c r="F4" s="285" t="str">
        <x:v>Source / URL
来源</x:v>
      </x:c>
      <x:c r="G4" s="285" t="str">
        <x:v>Checked Date
核对日期</x:v>
      </x:c>
      <x:c r="H4" s="285" t="str">
        <x:v>Notes
备注</x:v>
      </x:c>
    </x:row>
    <x:row r="5">
      <x:c r="A5" s="197"/>
      <x:c r="B5" s="198"/>
      <x:c r="C5" s="198"/>
      <x:c r="D5" s="209"/>
      <x:c r="E5" s="209"/>
      <x:c r="F5" s="198"/>
      <x:c r="G5" s="199"/>
      <x:c r="H5" s="200"/>
    </x:row>
    <x:row r="6">
      <x:c r="A6" s="210"/>
      <x:c r="B6" s="211"/>
      <x:c r="C6" s="211"/>
      <x:c r="D6" s="222"/>
      <x:c r="E6" s="222"/>
      <x:c r="F6" s="211"/>
      <x:c r="G6" s="212"/>
      <x:c r="H6" s="213"/>
    </x:row>
    <x:row r="7">
      <x:c r="A7" s="210"/>
      <x:c r="B7" s="211"/>
      <x:c r="C7" s="211"/>
      <x:c r="D7" s="222"/>
      <x:c r="E7" s="222"/>
      <x:c r="F7" s="211"/>
      <x:c r="G7" s="212"/>
      <x:c r="H7" s="213"/>
    </x:row>
    <x:row r="8">
      <x:c r="A8" s="210"/>
      <x:c r="B8" s="211"/>
      <x:c r="C8" s="211"/>
      <x:c r="D8" s="222"/>
      <x:c r="E8" s="222"/>
      <x:c r="F8" s="211"/>
      <x:c r="G8" s="212"/>
      <x:c r="H8" s="213"/>
    </x:row>
    <x:row r="9">
      <x:c r="A9" s="210"/>
      <x:c r="B9" s="211"/>
      <x:c r="C9" s="211"/>
      <x:c r="D9" s="222"/>
      <x:c r="E9" s="222"/>
      <x:c r="F9" s="211"/>
      <x:c r="G9" s="212"/>
      <x:c r="H9" s="213"/>
    </x:row>
    <x:row r="10">
      <x:c r="A10" s="210"/>
      <x:c r="B10" s="211"/>
      <x:c r="C10" s="211"/>
      <x:c r="D10" s="222"/>
      <x:c r="E10" s="222"/>
      <x:c r="F10" s="211"/>
      <x:c r="G10" s="212"/>
      <x:c r="H10" s="213"/>
    </x:row>
    <x:row r="11">
      <x:c r="A11" s="210"/>
      <x:c r="B11" s="211"/>
      <x:c r="C11" s="211"/>
      <x:c r="D11" s="222"/>
      <x:c r="E11" s="222"/>
      <x:c r="F11" s="211"/>
      <x:c r="G11" s="212"/>
      <x:c r="H11" s="213"/>
    </x:row>
    <x:row r="12">
      <x:c r="A12" s="210"/>
      <x:c r="B12" s="211"/>
      <x:c r="C12" s="211"/>
      <x:c r="D12" s="222"/>
      <x:c r="E12" s="222"/>
      <x:c r="F12" s="211"/>
      <x:c r="G12" s="212"/>
      <x:c r="H12" s="213"/>
    </x:row>
    <x:row r="13">
      <x:c r="A13" s="210"/>
      <x:c r="B13" s="211"/>
      <x:c r="C13" s="211"/>
      <x:c r="D13" s="222"/>
      <x:c r="E13" s="222"/>
      <x:c r="F13" s="211"/>
      <x:c r="G13" s="212"/>
      <x:c r="H13" s="213"/>
    </x:row>
    <x:row r="14">
      <x:c r="A14" s="210"/>
      <x:c r="B14" s="211"/>
      <x:c r="C14" s="211"/>
      <x:c r="D14" s="222"/>
      <x:c r="E14" s="222"/>
      <x:c r="F14" s="211"/>
      <x:c r="G14" s="212"/>
      <x:c r="H14" s="213"/>
    </x:row>
    <x:row r="15">
      <x:c r="A15" s="210"/>
      <x:c r="B15" s="211"/>
      <x:c r="C15" s="211"/>
      <x:c r="D15" s="222"/>
      <x:c r="E15" s="222"/>
      <x:c r="F15" s="211"/>
      <x:c r="G15" s="212"/>
      <x:c r="H15" s="213"/>
    </x:row>
    <x:row r="16">
      <x:c r="A16" s="210"/>
      <x:c r="B16" s="211"/>
      <x:c r="C16" s="211"/>
      <x:c r="D16" s="222"/>
      <x:c r="E16" s="222"/>
      <x:c r="F16" s="211"/>
      <x:c r="G16" s="212"/>
      <x:c r="H16" s="213"/>
    </x:row>
    <x:row r="17">
      <x:c r="A17" s="210"/>
      <x:c r="B17" s="211"/>
      <x:c r="C17" s="211"/>
      <x:c r="D17" s="222"/>
      <x:c r="E17" s="222"/>
      <x:c r="F17" s="211"/>
      <x:c r="G17" s="212"/>
      <x:c r="H17" s="213"/>
    </x:row>
    <x:row r="18">
      <x:c r="A18" s="210"/>
      <x:c r="B18" s="211"/>
      <x:c r="C18" s="211"/>
      <x:c r="D18" s="222"/>
      <x:c r="E18" s="222"/>
      <x:c r="F18" s="211"/>
      <x:c r="G18" s="212"/>
      <x:c r="H18" s="213"/>
    </x:row>
    <x:row r="19">
      <x:c r="A19" s="210"/>
      <x:c r="B19" s="211"/>
      <x:c r="C19" s="211"/>
      <x:c r="D19" s="222"/>
      <x:c r="E19" s="222"/>
      <x:c r="F19" s="211"/>
      <x:c r="G19" s="212"/>
      <x:c r="H19" s="213"/>
    </x:row>
    <x:row r="20">
      <x:c r="A20" s="210"/>
      <x:c r="B20" s="211"/>
      <x:c r="C20" s="211"/>
      <x:c r="D20" s="222"/>
      <x:c r="E20" s="222"/>
      <x:c r="F20" s="211"/>
      <x:c r="G20" s="212"/>
      <x:c r="H20" s="213"/>
    </x:row>
    <x:row r="21">
      <x:c r="A21" s="210"/>
      <x:c r="B21" s="211"/>
      <x:c r="C21" s="211"/>
      <x:c r="D21" s="222"/>
      <x:c r="E21" s="222"/>
      <x:c r="F21" s="211"/>
      <x:c r="G21" s="212"/>
      <x:c r="H21" s="213"/>
    </x:row>
    <x:row r="22">
      <x:c r="A22" s="210"/>
      <x:c r="B22" s="211"/>
      <x:c r="C22" s="211"/>
      <x:c r="D22" s="222"/>
      <x:c r="E22" s="222"/>
      <x:c r="F22" s="211"/>
      <x:c r="G22" s="212"/>
      <x:c r="H22" s="213"/>
    </x:row>
    <x:row r="23">
      <x:c r="A23" s="210"/>
      <x:c r="B23" s="211"/>
      <x:c r="C23" s="211"/>
      <x:c r="D23" s="222"/>
      <x:c r="E23" s="222"/>
      <x:c r="F23" s="211"/>
      <x:c r="G23" s="212"/>
      <x:c r="H23" s="213"/>
    </x:row>
    <x:row r="24">
      <x:c r="A24" s="223"/>
      <x:c r="B24" s="224"/>
      <x:c r="C24" s="224"/>
      <x:c r="D24" s="235"/>
      <x:c r="E24" s="235"/>
      <x:c r="F24" s="224"/>
      <x:c r="G24" s="225"/>
      <x:c r="H24" s="226"/>
    </x:row>
  </x:sheetData>
  <x:mergeCells>
    <x:mergeCell ref="A1:H1"/>
    <x:mergeCell ref="A2:H2"/>
  </x:mergeCells>
  <x:dataValidations count="1">
    <x:dataValidation type="list" sqref="C5:C24">
      <x:formula1>"Cheap,Mid,Frontier"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27" hidden="0" customWidth="1"/>
  </x:cols>
  <x:sheetData>
    <x:row r="1" ht="30" customHeight="1">
      <x:c r="A1" s="284" t="str">
        <x:v>Experiments · parallelism, descriptors and guardrails</x:v>
      </x:c>
      <x:c r="B1" s="284" t="str">
        <x:v>Experiments · parallelism, descriptors and guardrails</x:v>
      </x:c>
      <x:c r="C1" s="284" t="str">
        <x:v>Experiments · parallelism, descriptors and guardrails</x:v>
      </x:c>
      <x:c r="D1" s="284" t="str">
        <x:v>Experiments · parallelism, descriptors and guardrails</x:v>
      </x:c>
      <x:c r="E1" s="284" t="str">
        <x:v>Experiments · parallelism, descriptors and guardrails</x:v>
      </x:c>
      <x:c r="F1" s="284" t="str">
        <x:v>Experiments · parallelism, descriptors and guardrails</x:v>
      </x:c>
      <x:c r="G1" s="284" t="str">
        <x:v>Experiments · parallelism, descriptors and guardrails</x:v>
      </x:c>
      <x:c r="H1" s="284" t="str">
        <x:v>Experiments · parallelism, descriptors and guardrails</x:v>
      </x:c>
      <x:c r="I1" s="284" t="str">
        <x:v>Experiments · parallelism, descriptors and guardrails</x:v>
      </x:c>
      <x:c r="J1" s="284" t="str">
        <x:v>Experiments · parallelism, descriptors and guardrails</x:v>
      </x:c>
      <x:c r="K1" s="284" t="str">
        <x:v>Experiments · parallelism, descriptors and guardrails</x:v>
      </x:c>
      <x:c r="L1" s="284" t="str">
        <x:v>Experiments · parallelism, descriptors and guardrails</x:v>
      </x:c>
      <x:c r="M1" s="284" t="str">
        <x:v>Experiments · parallelism, descriptors and guardrails</x:v>
      </x:c>
      <x:c r="N1" s="284" t="str">
        <x:v>Experiments · parallelism, descriptors and guardrails</x:v>
      </x:c>
      <x:c r="O1" s="284" t="str">
        <x:v>Experiments · parallelism, descriptors and guardrails</x:v>
      </x:c>
      <x:c r="P1" s="284" t="str">
        <x:v>Experiments · parallelism, descriptors and guardrails</x:v>
      </x:c>
      <x:c r="Q1" s="284" t="str">
        <x:v>Experiments · parallelism, descriptors and guardrails</x:v>
      </x:c>
      <x:c r="R1" s="284" t="str">
        <x:v>Experiments · parallelism, descriptors and guardrails</x:v>
      </x:c>
      <x:c r="S1" s="284" t="str">
        <x:v>Experiments · parallelism, descriptors and guardrails</x:v>
      </x:c>
      <x:c r="T1" s="284" t="str">
        <x:v>Experiments · parallelism, descriptors and guardrails</x:v>
      </x:c>
      <x:c r="U1" s="284" t="str">
        <x:v>Experiments · parallelism, descriptors and guardrails</x:v>
      </x:c>
      <x:c r="V1" s="284" t="str">
        <x:v>Experiments · parallelism, descriptors and guardrails</x:v>
      </x:c>
      <x:c r="W1" s="284" t="str">
        <x:v>Experiments · parallelism, descriptors and guardrails</x:v>
      </x:c>
    </x:row>
    <x:row r="2" ht="32" customHeight="1">
      <x:c r="A2" s="172" t="str">
        <x:v>Each before/after or v1/v2 variant gets its own row. Only fill metrics relevant to that experiment; always attach an evidence filename.</x:v>
      </x:c>
      <x:c r="B2" s="172" t="str">
        <x:v>Each before/after or v1/v2 variant gets its own row. Only fill metrics relevant to that experiment; always attach an evidence filename.</x:v>
      </x:c>
      <x:c r="C2" s="172" t="str">
        <x:v>Each before/after or v1/v2 variant gets its own row. Only fill metrics relevant to that experiment; always attach an evidence filename.</x:v>
      </x:c>
      <x:c r="D2" s="172" t="str">
        <x:v>Each before/after or v1/v2 variant gets its own row. Only fill metrics relevant to that experiment; always attach an evidence filename.</x:v>
      </x:c>
      <x:c r="E2" s="172" t="str">
        <x:v>Each before/after or v1/v2 variant gets its own row. Only fill metrics relevant to that experiment; always attach an evidence filename.</x:v>
      </x:c>
      <x:c r="F2" s="172" t="str">
        <x:v>Each before/after or v1/v2 variant gets its own row. Only fill metrics relevant to that experiment; always attach an evidence filename.</x:v>
      </x:c>
      <x:c r="G2" s="172" t="str">
        <x:v>Each before/after or v1/v2 variant gets its own row. Only fill metrics relevant to that experiment; always attach an evidence filename.</x:v>
      </x:c>
      <x:c r="H2" s="172" t="str">
        <x:v>Each before/after or v1/v2 variant gets its own row. Only fill metrics relevant to that experiment; always attach an evidence filename.</x:v>
      </x:c>
      <x:c r="I2" s="172" t="str">
        <x:v>Each before/after or v1/v2 variant gets its own row. Only fill metrics relevant to that experiment; always attach an evidence filename.</x:v>
      </x:c>
      <x:c r="J2" s="172" t="str">
        <x:v>Each before/after or v1/v2 variant gets its own row. Only fill metrics relevant to that experiment; always attach an evidence filename.</x:v>
      </x:c>
      <x:c r="K2" s="172" t="str">
        <x:v>Each before/after or v1/v2 variant gets its own row. Only fill metrics relevant to that experiment; always attach an evidence filename.</x:v>
      </x:c>
      <x:c r="L2" s="172" t="str">
        <x:v>Each before/after or v1/v2 variant gets its own row. Only fill metrics relevant to that experiment; always attach an evidence filename.</x:v>
      </x:c>
      <x:c r="M2" s="172" t="str">
        <x:v>Each before/after or v1/v2 variant gets its own row. Only fill metrics relevant to that experiment; always attach an evidence filename.</x:v>
      </x:c>
      <x:c r="N2" s="172" t="str">
        <x:v>Each before/after or v1/v2 variant gets its own row. Only fill metrics relevant to that experiment; always attach an evidence filename.</x:v>
      </x:c>
      <x:c r="O2" s="172" t="str">
        <x:v>Each before/after or v1/v2 variant gets its own row. Only fill metrics relevant to that experiment; always attach an evidence filename.</x:v>
      </x:c>
      <x:c r="P2" s="172" t="str">
        <x:v>Each before/after or v1/v2 variant gets its own row. Only fill metrics relevant to that experiment; always attach an evidence filename.</x:v>
      </x:c>
      <x:c r="Q2" s="172" t="str">
        <x:v>Each before/after or v1/v2 variant gets its own row. Only fill metrics relevant to that experiment; always attach an evidence filename.</x:v>
      </x:c>
      <x:c r="R2" s="172" t="str">
        <x:v>Each before/after or v1/v2 variant gets its own row. Only fill metrics relevant to that experiment; always attach an evidence filename.</x:v>
      </x:c>
      <x:c r="S2" s="172" t="str">
        <x:v>Each before/after or v1/v2 variant gets its own row. Only fill metrics relevant to that experiment; always attach an evidence filename.</x:v>
      </x:c>
      <x:c r="T2" s="172" t="str">
        <x:v>Each before/after or v1/v2 variant gets its own row. Only fill metrics relevant to that experiment; always attach an evidence filename.</x:v>
      </x:c>
      <x:c r="U2" s="172" t="str">
        <x:v>Each before/after or v1/v2 variant gets its own row. Only fill metrics relevant to that experiment; always attach an evidence filename.</x:v>
      </x:c>
      <x:c r="V2" s="172" t="str">
        <x:v>Each before/after or v1/v2 variant gets its own row. Only fill metrics relevant to that experiment; always attach an evidence filename.</x:v>
      </x:c>
      <x:c r="W2" s="172" t="str">
        <x:v>Each before/after or v1/v2 variant gets its own row. Only fill metrics relevant to that experiment; always attach an evidence filename.</x:v>
      </x:c>
    </x:row>
    <x:row r="3">
      <x:c r="A3" s="173"/>
      <x:c r="B3" s="173"/>
      <x:c r="C3" s="173"/>
      <x:c r="D3" s="173"/>
      <x:c r="E3" s="173"/>
      <x:c r="F3" s="173"/>
      <x:c r="G3" s="173"/>
      <x:c r="H3" s="173"/>
      <x:c r="I3" s="173"/>
      <x:c r="J3" s="173"/>
      <x:c r="K3" s="173"/>
      <x:c r="L3" s="173"/>
      <x:c r="M3" s="173"/>
      <x:c r="N3" s="173"/>
      <x:c r="O3" s="173"/>
      <x:c r="P3" s="173"/>
      <x:c r="Q3" s="173"/>
      <x:c r="R3" s="173"/>
      <x:c r="S3" s="173"/>
      <x:c r="T3" s="173"/>
      <x:c r="U3" s="173"/>
      <x:c r="V3" s="173"/>
      <x:c r="W3" s="173"/>
    </x:row>
    <x:row r="4" ht="38" customHeight="1">
      <x:c r="A4" s="285" t="str">
        <x:v>Experiment ID</x:v>
      </x:c>
      <x:c r="B4" s="285" t="str">
        <x:v>Owner</x:v>
      </x:c>
      <x:c r="C4" s="285" t="str">
        <x:v>Type</x:v>
      </x:c>
      <x:c r="D4" s="285" t="str">
        <x:v>Variant</x:v>
      </x:c>
      <x:c r="E4" s="285" t="str">
        <x:v>Model</x:v>
      </x:c>
      <x:c r="F4" s="285" t="str">
        <x:v>Prompt</x:v>
      </x:c>
      <x:c r="G4" s="285" t="str">
        <x:v>Total Runs</x:v>
      </x:c>
      <x:c r="H4" s="285" t="str">
        <x:v>Passing Runs</x:v>
      </x:c>
      <x:c r="I4" s="285" t="str">
        <x:v>Pass Rate</x:v>
      </x:c>
      <x:c r="J4" s="285" t="str">
        <x:v>Median Turns</x:v>
      </x:c>
      <x:c r="K4" s="285" t="str">
        <x:v>Worst Turns</x:v>
      </x:c>
      <x:c r="L4" s="285" t="str">
        <x:v>Step-cap Hits</x:v>
      </x:c>
      <x:c r="M4" s="285" t="str">
        <x:v>Input Tokens Total</x:v>
      </x:c>
      <x:c r="N4" s="285" t="str">
        <x:v>Output Tokens Total</x:v>
      </x:c>
      <x:c r="O4" s="285" t="str">
        <x:v>Avg Input/Run</x:v>
      </x:c>
      <x:c r="P4" s="285" t="str">
        <x:v>Avg Output/Run</x:v>
      </x:c>
      <x:c r="Q4" s="285" t="str">
        <x:v>API Cost Total USD</x:v>
      </x:c>
      <x:c r="R4" s="285" t="str">
        <x:v>Cost/Run USD</x:v>
      </x:c>
      <x:c r="S4" s="285" t="str">
        <x:v>Tokens/Tool Call</x:v>
      </x:c>
      <x:c r="T4" s="285" t="str">
        <x:v>Tool Block Tokens</x:v>
      </x:c>
      <x:c r="U4" s="285" t="str">
        <x:v>Observation Tokens</x:v>
      </x:c>
      <x:c r="V4" s="285" t="str">
        <x:v>Evidence File</x:v>
      </x:c>
      <x:c r="W4" s="285" t="str">
        <x:v>Notes</x:v>
      </x:c>
    </x:row>
    <x:row r="5">
      <x:c r="A5" s="197" t="str">
        <x:v>PAR-SEQ</x:v>
      </x:c>
      <x:c r="B5" s="198"/>
      <x:c r="C5" s="198" t="str">
        <x:v>Sequential vs Parallel</x:v>
      </x:c>
      <x:c r="D5" s="198" t="str">
        <x:v>Sequential</x:v>
      </x:c>
      <x:c r="E5" s="198"/>
      <x:c r="F5" s="198"/>
      <x:c r="G5" s="198"/>
      <x:c r="H5" s="200"/>
      <x:c r="I5" s="236" t="str">
        <x:f>IFERROR(H5/G5,"")</x:f>
      </x:c>
      <x:c r="J5" s="197"/>
      <x:c r="K5" s="198"/>
      <x:c r="L5" s="198"/>
      <x:c r="M5" s="198"/>
      <x:c r="N5" s="200"/>
      <x:c r="O5" s="237" t="str">
        <x:f>IFERROR(M5/G5,"")</x:f>
      </x:c>
      <x:c r="P5" s="238" t="str">
        <x:f>IFERROR(N5/G5,"")</x:f>
      </x:c>
      <x:c r="Q5" s="208"/>
      <x:c r="R5" s="209" t="str">
        <x:f>IFERROR(Q5/G5,"")</x:f>
      </x:c>
      <x:c r="S5" s="198"/>
      <x:c r="T5" s="198"/>
      <x:c r="U5" s="198"/>
      <x:c r="V5" s="198"/>
      <x:c r="W5" s="200"/>
    </x:row>
    <x:row r="6">
      <x:c r="A6" s="210" t="str">
        <x:v>PAR-PAR</x:v>
      </x:c>
      <x:c r="B6" s="211"/>
      <x:c r="C6" s="211" t="str">
        <x:v>Sequential vs Parallel</x:v>
      </x:c>
      <x:c r="D6" s="211" t="str">
        <x:v>Parallel</x:v>
      </x:c>
      <x:c r="E6" s="211"/>
      <x:c r="F6" s="211"/>
      <x:c r="G6" s="211"/>
      <x:c r="H6" s="213"/>
      <x:c r="I6" s="239" t="str">
        <x:f>IFERROR(H6/G6,"")</x:f>
      </x:c>
      <x:c r="J6" s="210"/>
      <x:c r="K6" s="211"/>
      <x:c r="L6" s="211"/>
      <x:c r="M6" s="211"/>
      <x:c r="N6" s="213"/>
      <x:c r="O6" s="240" t="str">
        <x:f>IFERROR(M6/G6,"")</x:f>
      </x:c>
      <x:c r="P6" s="241" t="str">
        <x:f>IFERROR(N6/G6,"")</x:f>
      </x:c>
      <x:c r="Q6" s="221"/>
      <x:c r="R6" s="222" t="str">
        <x:f>IFERROR(Q6/G6,"")</x:f>
      </x:c>
      <x:c r="S6" s="211"/>
      <x:c r="T6" s="211"/>
      <x:c r="U6" s="211"/>
      <x:c r="V6" s="211"/>
      <x:c r="W6" s="213"/>
    </x:row>
    <x:row r="7">
      <x:c r="A7" s="210" t="str">
        <x:v>DESC-V1</x:v>
      </x:c>
      <x:c r="B7" s="211"/>
      <x:c r="C7" s="211" t="str">
        <x:v>Descriptor v1 vs v2</x:v>
      </x:c>
      <x:c r="D7" s="211" t="str">
        <x:v>v1</x:v>
      </x:c>
      <x:c r="E7" s="211"/>
      <x:c r="F7" s="211"/>
      <x:c r="G7" s="211"/>
      <x:c r="H7" s="213"/>
      <x:c r="I7" s="239" t="str">
        <x:f>IFERROR(H7/G7,"")</x:f>
      </x:c>
      <x:c r="J7" s="210"/>
      <x:c r="K7" s="211"/>
      <x:c r="L7" s="211"/>
      <x:c r="M7" s="211"/>
      <x:c r="N7" s="213"/>
      <x:c r="O7" s="240" t="str">
        <x:f>IFERROR(M7/G7,"")</x:f>
      </x:c>
      <x:c r="P7" s="241" t="str">
        <x:f>IFERROR(N7/G7,"")</x:f>
      </x:c>
      <x:c r="Q7" s="221"/>
      <x:c r="R7" s="222" t="str">
        <x:f>IFERROR(Q7/G7,"")</x:f>
      </x:c>
      <x:c r="S7" s="211"/>
      <x:c r="T7" s="211"/>
      <x:c r="U7" s="211"/>
      <x:c r="V7" s="211"/>
      <x:c r="W7" s="213"/>
    </x:row>
    <x:row r="8">
      <x:c r="A8" s="210" t="str">
        <x:v>DESC-V2</x:v>
      </x:c>
      <x:c r="B8" s="211"/>
      <x:c r="C8" s="211" t="str">
        <x:v>Descriptor v1 vs v2</x:v>
      </x:c>
      <x:c r="D8" s="211" t="str">
        <x:v>v2</x:v>
      </x:c>
      <x:c r="E8" s="211"/>
      <x:c r="F8" s="211"/>
      <x:c r="G8" s="211"/>
      <x:c r="H8" s="213"/>
      <x:c r="I8" s="239" t="str">
        <x:f>IFERROR(H8/G8,"")</x:f>
      </x:c>
      <x:c r="J8" s="210"/>
      <x:c r="K8" s="211"/>
      <x:c r="L8" s="211"/>
      <x:c r="M8" s="211"/>
      <x:c r="N8" s="213"/>
      <x:c r="O8" s="240" t="str">
        <x:f>IFERROR(M8/G8,"")</x:f>
      </x:c>
      <x:c r="P8" s="241" t="str">
        <x:f>IFERROR(N8/G8,"")</x:f>
      </x:c>
      <x:c r="Q8" s="221"/>
      <x:c r="R8" s="222" t="str">
        <x:f>IFERROR(Q8/G8,"")</x:f>
      </x:c>
      <x:c r="S8" s="211"/>
      <x:c r="T8" s="211"/>
      <x:c r="U8" s="211"/>
      <x:c r="V8" s="211"/>
      <x:c r="W8" s="213"/>
    </x:row>
    <x:row r="9">
      <x:c r="A9" s="210" t="str">
        <x:v>LOOP-BEFORE</x:v>
      </x:c>
      <x:c r="B9" s="211"/>
      <x:c r="C9" s="211" t="str">
        <x:v>Failure loop</x:v>
      </x:c>
      <x:c r="D9" s="211" t="str">
        <x:v>Before</x:v>
      </x:c>
      <x:c r="E9" s="211"/>
      <x:c r="F9" s="211"/>
      <x:c r="G9" s="211"/>
      <x:c r="H9" s="213"/>
      <x:c r="I9" s="239" t="str">
        <x:f>IFERROR(H9/G9,"")</x:f>
      </x:c>
      <x:c r="J9" s="210"/>
      <x:c r="K9" s="211"/>
      <x:c r="L9" s="211"/>
      <x:c r="M9" s="211"/>
      <x:c r="N9" s="213"/>
      <x:c r="O9" s="240" t="str">
        <x:f>IFERROR(M9/G9,"")</x:f>
      </x:c>
      <x:c r="P9" s="241" t="str">
        <x:f>IFERROR(N9/G9,"")</x:f>
      </x:c>
      <x:c r="Q9" s="221"/>
      <x:c r="R9" s="222" t="str">
        <x:f>IFERROR(Q9/G9,"")</x:f>
      </x:c>
      <x:c r="S9" s="211"/>
      <x:c r="T9" s="211"/>
      <x:c r="U9" s="211"/>
      <x:c r="V9" s="211"/>
      <x:c r="W9" s="213"/>
    </x:row>
    <x:row r="10">
      <x:c r="A10" s="210" t="str">
        <x:v>LOOP-AFTER</x:v>
      </x:c>
      <x:c r="B10" s="211"/>
      <x:c r="C10" s="211" t="str">
        <x:v>Failure loop</x:v>
      </x:c>
      <x:c r="D10" s="211" t="str">
        <x:v>After</x:v>
      </x:c>
      <x:c r="E10" s="211"/>
      <x:c r="F10" s="211"/>
      <x:c r="G10" s="211"/>
      <x:c r="H10" s="213"/>
      <x:c r="I10" s="239" t="str">
        <x:f>IFERROR(H10/G10,"")</x:f>
      </x:c>
      <x:c r="J10" s="210"/>
      <x:c r="K10" s="211"/>
      <x:c r="L10" s="211"/>
      <x:c r="M10" s="211"/>
      <x:c r="N10" s="213"/>
      <x:c r="O10" s="240" t="str">
        <x:f>IFERROR(M10/G10,"")</x:f>
      </x:c>
      <x:c r="P10" s="241" t="str">
        <x:f>IFERROR(N10/G10,"")</x:f>
      </x:c>
      <x:c r="Q10" s="221"/>
      <x:c r="R10" s="222" t="str">
        <x:f>IFERROR(Q10/G10,"")</x:f>
      </x:c>
      <x:c r="S10" s="211"/>
      <x:c r="T10" s="211"/>
      <x:c r="U10" s="211"/>
      <x:c r="V10" s="211"/>
      <x:c r="W10" s="213"/>
    </x:row>
    <x:row r="11">
      <x:c r="A11" s="210" t="str">
        <x:v>CAP-STEP</x:v>
      </x:c>
      <x:c r="B11" s="211"/>
      <x:c r="C11" s="211" t="str">
        <x:v>Guardrail</x:v>
      </x:c>
      <x:c r="D11" s="211" t="str">
        <x:v>Step cap</x:v>
      </x:c>
      <x:c r="E11" s="211"/>
      <x:c r="F11" s="211"/>
      <x:c r="G11" s="211"/>
      <x:c r="H11" s="213"/>
      <x:c r="I11" s="239" t="str">
        <x:f>IFERROR(H11/G11,"")</x:f>
      </x:c>
      <x:c r="J11" s="210"/>
      <x:c r="K11" s="211"/>
      <x:c r="L11" s="211"/>
      <x:c r="M11" s="211"/>
      <x:c r="N11" s="213"/>
      <x:c r="O11" s="240" t="str">
        <x:f>IFERROR(M11/G11,"")</x:f>
      </x:c>
      <x:c r="P11" s="241" t="str">
        <x:f>IFERROR(N11/G11,"")</x:f>
      </x:c>
      <x:c r="Q11" s="221"/>
      <x:c r="R11" s="222" t="str">
        <x:f>IFERROR(Q11/G11,"")</x:f>
      </x:c>
      <x:c r="S11" s="211"/>
      <x:c r="T11" s="211"/>
      <x:c r="U11" s="211"/>
      <x:c r="V11" s="211"/>
      <x:c r="W11" s="213"/>
    </x:row>
    <x:row r="12">
      <x:c r="A12" s="210" t="str">
        <x:v>CAP-BUDGET</x:v>
      </x:c>
      <x:c r="B12" s="211"/>
      <x:c r="C12" s="211" t="str">
        <x:v>Guardrail</x:v>
      </x:c>
      <x:c r="D12" s="211" t="str">
        <x:v>Budget ceiling</x:v>
      </x:c>
      <x:c r="E12" s="211"/>
      <x:c r="F12" s="211"/>
      <x:c r="G12" s="211"/>
      <x:c r="H12" s="213"/>
      <x:c r="I12" s="239" t="str">
        <x:f>IFERROR(H12/G12,"")</x:f>
      </x:c>
      <x:c r="J12" s="210"/>
      <x:c r="K12" s="211"/>
      <x:c r="L12" s="211"/>
      <x:c r="M12" s="211"/>
      <x:c r="N12" s="213"/>
      <x:c r="O12" s="240" t="str">
        <x:f>IFERROR(M12/G12,"")</x:f>
      </x:c>
      <x:c r="P12" s="241" t="str">
        <x:f>IFERROR(N12/G12,"")</x:f>
      </x:c>
      <x:c r="Q12" s="221"/>
      <x:c r="R12" s="222" t="str">
        <x:f>IFERROR(Q12/G12,"")</x:f>
      </x:c>
      <x:c r="S12" s="211"/>
      <x:c r="T12" s="211"/>
      <x:c r="U12" s="211"/>
      <x:c r="V12" s="211"/>
      <x:c r="W12" s="213"/>
    </x:row>
    <x:row r="13">
      <x:c r="A13" s="210"/>
      <x:c r="B13" s="211"/>
      <x:c r="C13" s="211"/>
      <x:c r="D13" s="211"/>
      <x:c r="E13" s="211"/>
      <x:c r="F13" s="211"/>
      <x:c r="G13" s="211"/>
      <x:c r="H13" s="213"/>
      <x:c r="I13" s="239" t="str">
        <x:f>IFERROR(H13/G13,"")</x:f>
      </x:c>
      <x:c r="J13" s="210"/>
      <x:c r="K13" s="211"/>
      <x:c r="L13" s="211"/>
      <x:c r="M13" s="211"/>
      <x:c r="N13" s="213"/>
      <x:c r="O13" s="240" t="str">
        <x:f>IFERROR(M13/G13,"")</x:f>
      </x:c>
      <x:c r="P13" s="241" t="str">
        <x:f>IFERROR(N13/G13,"")</x:f>
      </x:c>
      <x:c r="Q13" s="221"/>
      <x:c r="R13" s="222" t="str">
        <x:f>IFERROR(Q13/G13,"")</x:f>
      </x:c>
      <x:c r="S13" s="211"/>
      <x:c r="T13" s="211"/>
      <x:c r="U13" s="211"/>
      <x:c r="V13" s="211"/>
      <x:c r="W13" s="213"/>
    </x:row>
    <x:row r="14">
      <x:c r="A14" s="210"/>
      <x:c r="B14" s="211"/>
      <x:c r="C14" s="211"/>
      <x:c r="D14" s="211"/>
      <x:c r="E14" s="211"/>
      <x:c r="F14" s="211"/>
      <x:c r="G14" s="211"/>
      <x:c r="H14" s="213"/>
      <x:c r="I14" s="239" t="str">
        <x:f>IFERROR(H14/G14,"")</x:f>
      </x:c>
      <x:c r="J14" s="210"/>
      <x:c r="K14" s="211"/>
      <x:c r="L14" s="211"/>
      <x:c r="M14" s="211"/>
      <x:c r="N14" s="213"/>
      <x:c r="O14" s="240" t="str">
        <x:f>IFERROR(M14/G14,"")</x:f>
      </x:c>
      <x:c r="P14" s="241" t="str">
        <x:f>IFERROR(N14/G14,"")</x:f>
      </x:c>
      <x:c r="Q14" s="221"/>
      <x:c r="R14" s="222" t="str">
        <x:f>IFERROR(Q14/G14,"")</x:f>
      </x:c>
      <x:c r="S14" s="211"/>
      <x:c r="T14" s="211"/>
      <x:c r="U14" s="211"/>
      <x:c r="V14" s="211"/>
      <x:c r="W14" s="213"/>
    </x:row>
    <x:row r="15">
      <x:c r="A15" s="210"/>
      <x:c r="B15" s="211"/>
      <x:c r="C15" s="211"/>
      <x:c r="D15" s="211"/>
      <x:c r="E15" s="211"/>
      <x:c r="F15" s="211"/>
      <x:c r="G15" s="211"/>
      <x:c r="H15" s="213"/>
      <x:c r="I15" s="239" t="str">
        <x:f>IFERROR(H15/G15,"")</x:f>
      </x:c>
      <x:c r="J15" s="210"/>
      <x:c r="K15" s="211"/>
      <x:c r="L15" s="211"/>
      <x:c r="M15" s="211"/>
      <x:c r="N15" s="213"/>
      <x:c r="O15" s="240" t="str">
        <x:f>IFERROR(M15/G15,"")</x:f>
      </x:c>
      <x:c r="P15" s="241" t="str">
        <x:f>IFERROR(N15/G15,"")</x:f>
      </x:c>
      <x:c r="Q15" s="221"/>
      <x:c r="R15" s="222" t="str">
        <x:f>IFERROR(Q15/G15,"")</x:f>
      </x:c>
      <x:c r="S15" s="211"/>
      <x:c r="T15" s="211"/>
      <x:c r="U15" s="211"/>
      <x:c r="V15" s="211"/>
      <x:c r="W15" s="213"/>
    </x:row>
    <x:row r="16">
      <x:c r="A16" s="210"/>
      <x:c r="B16" s="211"/>
      <x:c r="C16" s="211"/>
      <x:c r="D16" s="211"/>
      <x:c r="E16" s="211"/>
      <x:c r="F16" s="211"/>
      <x:c r="G16" s="211"/>
      <x:c r="H16" s="213"/>
      <x:c r="I16" s="239" t="str">
        <x:f>IFERROR(H16/G16,"")</x:f>
      </x:c>
      <x:c r="J16" s="210"/>
      <x:c r="K16" s="211"/>
      <x:c r="L16" s="211"/>
      <x:c r="M16" s="211"/>
      <x:c r="N16" s="213"/>
      <x:c r="O16" s="240" t="str">
        <x:f>IFERROR(M16/G16,"")</x:f>
      </x:c>
      <x:c r="P16" s="241" t="str">
        <x:f>IFERROR(N16/G16,"")</x:f>
      </x:c>
      <x:c r="Q16" s="221"/>
      <x:c r="R16" s="222" t="str">
        <x:f>IFERROR(Q16/G16,"")</x:f>
      </x:c>
      <x:c r="S16" s="211"/>
      <x:c r="T16" s="211"/>
      <x:c r="U16" s="211"/>
      <x:c r="V16" s="211"/>
      <x:c r="W16" s="213"/>
    </x:row>
    <x:row r="17">
      <x:c r="A17" s="210"/>
      <x:c r="B17" s="211"/>
      <x:c r="C17" s="211"/>
      <x:c r="D17" s="211"/>
      <x:c r="E17" s="211"/>
      <x:c r="F17" s="211"/>
      <x:c r="G17" s="211"/>
      <x:c r="H17" s="213"/>
      <x:c r="I17" s="239" t="str">
        <x:f>IFERROR(H17/G17,"")</x:f>
      </x:c>
      <x:c r="J17" s="210"/>
      <x:c r="K17" s="211"/>
      <x:c r="L17" s="211"/>
      <x:c r="M17" s="211"/>
      <x:c r="N17" s="213"/>
      <x:c r="O17" s="240" t="str">
        <x:f>IFERROR(M17/G17,"")</x:f>
      </x:c>
      <x:c r="P17" s="241" t="str">
        <x:f>IFERROR(N17/G17,"")</x:f>
      </x:c>
      <x:c r="Q17" s="221"/>
      <x:c r="R17" s="222" t="str">
        <x:f>IFERROR(Q17/G17,"")</x:f>
      </x:c>
      <x:c r="S17" s="211"/>
      <x:c r="T17" s="211"/>
      <x:c r="U17" s="211"/>
      <x:c r="V17" s="211"/>
      <x:c r="W17" s="213"/>
    </x:row>
    <x:row r="18">
      <x:c r="A18" s="210"/>
      <x:c r="B18" s="211"/>
      <x:c r="C18" s="211"/>
      <x:c r="D18" s="211"/>
      <x:c r="E18" s="211"/>
      <x:c r="F18" s="211"/>
      <x:c r="G18" s="211"/>
      <x:c r="H18" s="213"/>
      <x:c r="I18" s="239" t="str">
        <x:f>IFERROR(H18/G18,"")</x:f>
      </x:c>
      <x:c r="J18" s="210"/>
      <x:c r="K18" s="211"/>
      <x:c r="L18" s="211"/>
      <x:c r="M18" s="211"/>
      <x:c r="N18" s="213"/>
      <x:c r="O18" s="240" t="str">
        <x:f>IFERROR(M18/G18,"")</x:f>
      </x:c>
      <x:c r="P18" s="241" t="str">
        <x:f>IFERROR(N18/G18,"")</x:f>
      </x:c>
      <x:c r="Q18" s="221"/>
      <x:c r="R18" s="222" t="str">
        <x:f>IFERROR(Q18/G18,"")</x:f>
      </x:c>
      <x:c r="S18" s="211"/>
      <x:c r="T18" s="211"/>
      <x:c r="U18" s="211"/>
      <x:c r="V18" s="211"/>
      <x:c r="W18" s="213"/>
    </x:row>
    <x:row r="19">
      <x:c r="A19" s="210"/>
      <x:c r="B19" s="211"/>
      <x:c r="C19" s="211"/>
      <x:c r="D19" s="211"/>
      <x:c r="E19" s="211"/>
      <x:c r="F19" s="211"/>
      <x:c r="G19" s="211"/>
      <x:c r="H19" s="213"/>
      <x:c r="I19" s="239" t="str">
        <x:f>IFERROR(H19/G19,"")</x:f>
      </x:c>
      <x:c r="J19" s="210"/>
      <x:c r="K19" s="211"/>
      <x:c r="L19" s="211"/>
      <x:c r="M19" s="211"/>
      <x:c r="N19" s="213"/>
      <x:c r="O19" s="240" t="str">
        <x:f>IFERROR(M19/G19,"")</x:f>
      </x:c>
      <x:c r="P19" s="241" t="str">
        <x:f>IFERROR(N19/G19,"")</x:f>
      </x:c>
      <x:c r="Q19" s="221"/>
      <x:c r="R19" s="222" t="str">
        <x:f>IFERROR(Q19/G19,"")</x:f>
      </x:c>
      <x:c r="S19" s="211"/>
      <x:c r="T19" s="211"/>
      <x:c r="U19" s="211"/>
      <x:c r="V19" s="211"/>
      <x:c r="W19" s="213"/>
    </x:row>
    <x:row r="20">
      <x:c r="A20" s="223"/>
      <x:c r="B20" s="224"/>
      <x:c r="C20" s="224"/>
      <x:c r="D20" s="224"/>
      <x:c r="E20" s="224"/>
      <x:c r="F20" s="224"/>
      <x:c r="G20" s="224"/>
      <x:c r="H20" s="226"/>
      <x:c r="I20" s="242" t="str">
        <x:f>IFERROR(H20/G20,"")</x:f>
      </x:c>
      <x:c r="J20" s="223"/>
      <x:c r="K20" s="224"/>
      <x:c r="L20" s="224"/>
      <x:c r="M20" s="224"/>
      <x:c r="N20" s="226"/>
      <x:c r="O20" s="243" t="str">
        <x:f>IFERROR(M20/G20,"")</x:f>
      </x:c>
      <x:c r="P20" s="244" t="str">
        <x:f>IFERROR(N20/G20,"")</x:f>
      </x:c>
      <x:c r="Q20" s="234"/>
      <x:c r="R20" s="235" t="str">
        <x:f>IFERROR(Q20/G20,"")</x:f>
      </x:c>
      <x:c r="S20" s="224"/>
      <x:c r="T20" s="224"/>
      <x:c r="U20" s="224"/>
      <x:c r="V20" s="224"/>
      <x:c r="W20" s="226"/>
    </x:row>
  </x:sheetData>
  <x:mergeCells>
    <x:mergeCell ref="A1:W1"/>
    <x:mergeCell ref="A2:W2"/>
  </x:mergeCells>
  <x:dataValidations count="1">
    <x:dataValidation type="list" sqref="F5:F20">
      <x:formula1>"v1,v2"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13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9" hidden="0" customWidth="1"/>
    <x:col min="13" max="13" width="28" hidden="0" customWidth="1"/>
    <x:col min="14" max="14" width="17" hidden="0" customWidth="1"/>
  </x:cols>
  <x:sheetData>
    <x:row r="1" ht="30" customHeight="1">
      <x:c r="A1" s="284" t="str">
        <x:v>Cost Calculator · formula-driven D6 model</x:v>
      </x:c>
      <x:c r="B1" s="284" t="str">
        <x:v>Cost Calculator · formula-driven D6 model</x:v>
      </x:c>
      <x:c r="C1" s="284" t="str">
        <x:v>Cost Calculator · formula-driven D6 model</x:v>
      </x:c>
      <x:c r="D1" s="284" t="str">
        <x:v>Cost Calculator · formula-driven D6 model</x:v>
      </x:c>
      <x:c r="E1" s="284" t="str">
        <x:v>Cost Calculator · formula-driven D6 model</x:v>
      </x:c>
      <x:c r="F1" s="284" t="str">
        <x:v>Cost Calculator · formula-driven D6 model</x:v>
      </x:c>
      <x:c r="G1" s="284" t="str">
        <x:v>Cost Calculator · formula-driven D6 model</x:v>
      </x:c>
      <x:c r="H1" s="284" t="str">
        <x:v>Cost Calculator · formula-driven D6 model</x:v>
      </x:c>
      <x:c r="I1" s="284" t="str">
        <x:v>Cost Calculator · formula-driven D6 model</x:v>
      </x:c>
      <x:c r="J1" s="284" t="str">
        <x:v>Cost Calculator · formula-driven D6 model</x:v>
      </x:c>
      <x:c r="K1" s="284" t="str">
        <x:v>Cost Calculator · formula-driven D6 model</x:v>
      </x:c>
      <x:c r="L1" s="284" t="str">
        <x:v>Cost Calculator · formula-driven D6 model</x:v>
      </x:c>
      <x:c r="M1" s="284" t="str">
        <x:v>Cost Calculator · formula-driven D6 model</x:v>
      </x:c>
      <x:c r="N1" s="284" t="str">
        <x:v>Cost Calculator · formula-driven D6 model</x:v>
      </x:c>
    </x:row>
    <x:row r="2" ht="32" customHeight="1">
      <x:c r="A2" s="172" t="str">
        <x:v>Select a Run Key in column A. Results are pulled from Model Runs and Model Prices; do not type over grey formula cells.</x:v>
      </x:c>
      <x:c r="B2" s="172" t="str">
        <x:v>Select a Run Key in column A. Results are pulled from Model Runs and Model Prices; do not type over grey formula cells.</x:v>
      </x:c>
      <x:c r="C2" s="172" t="str">
        <x:v>Select a Run Key in column A. Results are pulled from Model Runs and Model Prices; do not type over grey formula cells.</x:v>
      </x:c>
      <x:c r="D2" s="172" t="str">
        <x:v>Select a Run Key in column A. Results are pulled from Model Runs and Model Prices; do not type over grey formula cells.</x:v>
      </x:c>
      <x:c r="E2" s="172" t="str">
        <x:v>Select a Run Key in column A. Results are pulled from Model Runs and Model Prices; do not type over grey formula cells.</x:v>
      </x:c>
      <x:c r="F2" s="172" t="str">
        <x:v>Select a Run Key in column A. Results are pulled from Model Runs and Model Prices; do not type over grey formula cells.</x:v>
      </x:c>
      <x:c r="G2" s="172" t="str">
        <x:v>Select a Run Key in column A. Results are pulled from Model Runs and Model Prices; do not type over grey formula cells.</x:v>
      </x:c>
      <x:c r="H2" s="172" t="str">
        <x:v>Select a Run Key in column A. Results are pulled from Model Runs and Model Prices; do not type over grey formula cells.</x:v>
      </x:c>
      <x:c r="I2" s="172" t="str">
        <x:v>Select a Run Key in column A. Results are pulled from Model Runs and Model Prices; do not type over grey formula cells.</x:v>
      </x:c>
      <x:c r="J2" s="172" t="str">
        <x:v>Select a Run Key in column A. Results are pulled from Model Runs and Model Prices; do not type over grey formula cells.</x:v>
      </x:c>
      <x:c r="K2" s="172" t="str">
        <x:v>Select a Run Key in column A. Results are pulled from Model Runs and Model Prices; do not type over grey formula cells.</x:v>
      </x:c>
      <x:c r="L2" s="172" t="str">
        <x:v>Select a Run Key in column A. Results are pulled from Model Runs and Model Prices; do not type over grey formula cells.</x:v>
      </x:c>
      <x:c r="M2" s="172" t="str">
        <x:v>Select a Run Key in column A. Results are pulled from Model Runs and Model Prices; do not type over grey formula cells.</x:v>
      </x:c>
      <x:c r="N2" s="172" t="str">
        <x:v>Select a Run Key in column A. Results are pulled from Model Runs and Model Prices; do not type over grey formula cells.</x:v>
      </x:c>
    </x:row>
    <x:row r="3">
      <x:c r="A3" s="245" t="str">
        <x:v>Monthly volume</x:v>
      </x:c>
      <x:c r="B3" s="246" t="n">
        <x:v>8000</x:v>
      </x:c>
      <x:c r="C3" s="173"/>
      <x:c r="D3" s="188" t="str">
        <x:v>Layer 1 = input tokens × input price + output tokens × output price + tool/retrieval fees</x:v>
      </x:c>
      <x:c r="E3" s="189"/>
      <x:c r="F3" s="189"/>
      <x:c r="G3" s="189"/>
      <x:c r="H3" s="189"/>
      <x:c r="I3" s="189"/>
      <x:c r="J3" s="189"/>
      <x:c r="K3" s="189"/>
      <x:c r="L3" s="189"/>
      <x:c r="M3" s="189"/>
      <x:c r="N3" s="190"/>
    </x:row>
    <x:row r="4">
      <x:c r="A4" s="245" t="str">
        <x:v>Failure cost USD/task</x:v>
      </x:c>
      <x:c r="B4" s="247" t="n">
        <x:v>7.6</x:v>
      </x:c>
      <x:c r="C4" s="173"/>
      <x:c r="D4" s="191" t="str">
        <x:v>Layer 2 fallback = (1 − measured success rate) × USD 7.60</x:v>
      </x:c>
      <x:c r="E4" s="192"/>
      <x:c r="F4" s="192"/>
      <x:c r="G4" s="192"/>
      <x:c r="H4" s="192"/>
      <x:c r="I4" s="192"/>
      <x:c r="J4" s="192"/>
      <x:c r="K4" s="192"/>
      <x:c r="L4" s="192"/>
      <x:c r="M4" s="192"/>
      <x:c r="N4" s="193"/>
    </x:row>
    <x:row r="5">
      <x:c r="A5" s="245" t="str">
        <x:v>Fixed monthly cost USD</x:v>
      </x:c>
      <x:c r="B5" s="248" t="n">
        <x:v>0</x:v>
      </x:c>
      <x:c r="C5" s="173"/>
      <x:c r="D5" s="194" t="str">
        <x:v>Cost per successful task = Layer 1 + Layer 2; Monthly cost = cost/task × 8,000 + fixed monthly cost</x:v>
      </x:c>
      <x:c r="E5" s="195"/>
      <x:c r="F5" s="195"/>
      <x:c r="G5" s="195"/>
      <x:c r="H5" s="195"/>
      <x:c r="I5" s="195"/>
      <x:c r="J5" s="195"/>
      <x:c r="K5" s="195"/>
      <x:c r="L5" s="195"/>
      <x:c r="M5" s="195"/>
      <x:c r="N5" s="196"/>
    </x:row>
    <x:row r="6">
      <x:c r="A6" s="173"/>
      <x:c r="B6" s="173"/>
      <x:c r="C6" s="173"/>
      <x:c r="D6" s="173"/>
      <x:c r="E6" s="173"/>
      <x:c r="F6" s="173"/>
      <x:c r="G6" s="173"/>
      <x:c r="H6" s="173"/>
      <x:c r="I6" s="173"/>
      <x:c r="J6" s="173"/>
      <x:c r="K6" s="173"/>
      <x:c r="L6" s="173"/>
      <x:c r="M6" s="173"/>
      <x:c r="N6" s="173"/>
    </x:row>
    <x:row r="7" ht="38" customHeight="1">
      <x:c r="A7" s="285" t="str">
        <x:v>Run Key</x:v>
      </x:c>
      <x:c r="B7" s="285" t="str">
        <x:v>Model Name</x:v>
      </x:c>
      <x:c r="C7" s="285" t="str">
        <x:v>Pass Rate</x:v>
      </x:c>
      <x:c r="D7" s="285" t="str">
        <x:v>Avg Input Tokens/Run</x:v>
      </x:c>
      <x:c r="E7" s="285" t="str">
        <x:v>Avg Output Tokens/Run</x:v>
      </x:c>
      <x:c r="F7" s="285" t="str">
        <x:v>Input USD/1M</x:v>
      </x:c>
      <x:c r="G7" s="285" t="str">
        <x:v>Output USD/1M</x:v>
      </x:c>
      <x:c r="H7" s="285" t="str">
        <x:v>Tool Fees USD/Run</x:v>
      </x:c>
      <x:c r="I7" s="285" t="str">
        <x:v>Layer 1 USD/Run</x:v>
      </x:c>
      <x:c r="J7" s="285" t="str">
        <x:v>Layer 2 Fallback USD/Task</x:v>
      </x:c>
      <x:c r="K7" s="285" t="str">
        <x:v>Cost per Successful Task USD</x:v>
      </x:c>
      <x:c r="L7" s="285" t="str">
        <x:v>Monthly Cost USD</x:v>
      </x:c>
      <x:c r="M7" s="285" t="str">
        <x:v>Evidence / Note</x:v>
      </x:c>
      <x:c r="N7" s="285" t="str">
        <x:v>Token-only Cost C</x:v>
      </x:c>
    </x:row>
    <x:row r="8">
      <x:c r="A8" s="249"/>
      <x:c r="B8" s="237" t="str">
        <x:f>IF($A8="","",IFERROR(VLOOKUP($A8,'Model Runs'!$A$5:$W$24,3,FALSE),""))</x:f>
      </x:c>
      <x:c r="C8" s="250" t="str">
        <x:f>IF($A8="","",IFERROR(VLOOKUP($A8,'Model Runs'!$A$5:$W$24,17,FALSE),""))</x:f>
      </x:c>
      <x:c r="D8" s="251" t="str">
        <x:f>IF($A8="","",IFERROR(VLOOKUP($A8,'Model Runs'!$A$5:$W$24,21,FALSE),""))</x:f>
      </x:c>
      <x:c r="E8" s="251" t="str">
        <x:f>IF($A8="","",IFERROR(VLOOKUP($A8,'Model Runs'!$A$5:$W$24,22,FALSE),""))</x:f>
      </x:c>
      <x:c r="F8" s="252" t="str">
        <x:f>IF($B8="","",IFERROR(VLOOKUP($B8,'Model Prices'!$A$5:$E$24,4,FALSE),""))</x:f>
      </x:c>
      <x:c r="G8" s="252" t="str">
        <x:f>IF($B8="","",IFERROR(VLOOKUP($B8,'Model Prices'!$A$5:$E$24,5,FALSE),""))</x:f>
      </x:c>
      <x:c r="H8" s="252" t="str">
        <x:f>IF($A8="","",IFERROR(VLOOKUP($A8,'Model Runs'!$A$5:$W$24,23,FALSE)/VLOOKUP($A8,'Model Runs'!$A$5:$W$24,14,FALSE),0))</x:f>
      </x:c>
      <x:c r="I8" s="252" t="str">
        <x:f>IF(OR(D8="",E8="",F8="",G8=""),"",D8/1000000*F8+E8/1000000*G8+H8)</x:f>
      </x:c>
      <x:c r="J8" s="252" t="str">
        <x:f>IF(C8="","",(1-C8)*$B$4)</x:f>
      </x:c>
      <x:c r="K8" s="252" t="str">
        <x:f>IF(OR(I8="",J8=""),"",I8+J8)</x:f>
      </x:c>
      <x:c r="L8" s="253" t="str">
        <x:f>IF(K8="","",K8*$B$3+$B$5)</x:f>
      </x:c>
      <x:c r="M8" s="254"/>
      <x:c r="N8" s="255" t="str">
        <x:f>IF(OR(D8="",E8="",F8="",G8=""),"",D8/1000000*F8+E8/1000000*G8)</x:f>
      </x:c>
    </x:row>
    <x:row r="9">
      <x:c r="A9" s="256"/>
      <x:c r="B9" s="240" t="str">
        <x:f>IF($A9="","",IFERROR(VLOOKUP($A9,'Model Runs'!$A$5:$W$24,3,FALSE),""))</x:f>
      </x:c>
      <x:c r="C9" s="257" t="str">
        <x:f>IF($A9="","",IFERROR(VLOOKUP($A9,'Model Runs'!$A$5:$W$24,17,FALSE),""))</x:f>
      </x:c>
      <x:c r="D9" s="258" t="str">
        <x:f>IF($A9="","",IFERROR(VLOOKUP($A9,'Model Runs'!$A$5:$W$24,21,FALSE),""))</x:f>
      </x:c>
      <x:c r="E9" s="258" t="str">
        <x:f>IF($A9="","",IFERROR(VLOOKUP($A9,'Model Runs'!$A$5:$W$24,22,FALSE),""))</x:f>
      </x:c>
      <x:c r="F9" s="259" t="str">
        <x:f>IF($B9="","",IFERROR(VLOOKUP($B9,'Model Prices'!$A$5:$E$24,4,FALSE),""))</x:f>
      </x:c>
      <x:c r="G9" s="259" t="str">
        <x:f>IF($B9="","",IFERROR(VLOOKUP($B9,'Model Prices'!$A$5:$E$24,5,FALSE),""))</x:f>
      </x:c>
      <x:c r="H9" s="259" t="str">
        <x:f>IF($A9="","",IFERROR(VLOOKUP($A9,'Model Runs'!$A$5:$W$24,23,FALSE)/VLOOKUP($A9,'Model Runs'!$A$5:$W$24,14,FALSE),0))</x:f>
      </x:c>
      <x:c r="I9" s="259" t="str">
        <x:f>IF(OR(D9="",E9="",F9="",G9=""),"",D9/1000000*F9+E9/1000000*G9+H9)</x:f>
      </x:c>
      <x:c r="J9" s="259" t="str">
        <x:f>IF(C9="","",(1-C9)*$B$4)</x:f>
      </x:c>
      <x:c r="K9" s="259" t="str">
        <x:f>IF(OR(I9="",J9=""),"",I9+J9)</x:f>
      </x:c>
      <x:c r="L9" s="260" t="str">
        <x:f>IF(K9="","",K9*$B$3+$B$5)</x:f>
      </x:c>
      <x:c r="M9" s="261"/>
      <x:c r="N9" s="262" t="str">
        <x:f>IF(OR(D9="",E9="",F9="",G9=""),"",D9/1000000*F9+E9/1000000*G9)</x:f>
      </x:c>
    </x:row>
    <x:row r="10">
      <x:c r="A10" s="256"/>
      <x:c r="B10" s="240" t="str">
        <x:f>IF($A10="","",IFERROR(VLOOKUP($A10,'Model Runs'!$A$5:$W$24,3,FALSE),""))</x:f>
      </x:c>
      <x:c r="C10" s="257" t="str">
        <x:f>IF($A10="","",IFERROR(VLOOKUP($A10,'Model Runs'!$A$5:$W$24,17,FALSE),""))</x:f>
      </x:c>
      <x:c r="D10" s="258" t="str">
        <x:f>IF($A10="","",IFERROR(VLOOKUP($A10,'Model Runs'!$A$5:$W$24,21,FALSE),""))</x:f>
      </x:c>
      <x:c r="E10" s="258" t="str">
        <x:f>IF($A10="","",IFERROR(VLOOKUP($A10,'Model Runs'!$A$5:$W$24,22,FALSE),""))</x:f>
      </x:c>
      <x:c r="F10" s="259" t="str">
        <x:f>IF($B10="","",IFERROR(VLOOKUP($B10,'Model Prices'!$A$5:$E$24,4,FALSE),""))</x:f>
      </x:c>
      <x:c r="G10" s="259" t="str">
        <x:f>IF($B10="","",IFERROR(VLOOKUP($B10,'Model Prices'!$A$5:$E$24,5,FALSE),""))</x:f>
      </x:c>
      <x:c r="H10" s="259" t="str">
        <x:f>IF($A10="","",IFERROR(VLOOKUP($A10,'Model Runs'!$A$5:$W$24,23,FALSE)/VLOOKUP($A10,'Model Runs'!$A$5:$W$24,14,FALSE),0))</x:f>
      </x:c>
      <x:c r="I10" s="259" t="str">
        <x:f>IF(OR(D10="",E10="",F10="",G10=""),"",D10/1000000*F10+E10/1000000*G10+H10)</x:f>
      </x:c>
      <x:c r="J10" s="259" t="str">
        <x:f>IF(C10="","",(1-C10)*$B$4)</x:f>
      </x:c>
      <x:c r="K10" s="259" t="str">
        <x:f>IF(OR(I10="",J10=""),"",I10+J10)</x:f>
      </x:c>
      <x:c r="L10" s="260" t="str">
        <x:f>IF(K10="","",K10*$B$3+$B$5)</x:f>
      </x:c>
      <x:c r="M10" s="261"/>
      <x:c r="N10" s="262" t="str">
        <x:f>IF(OR(D10="",E10="",F10="",G10=""),"",D10/1000000*F10+E10/1000000*G10)</x:f>
      </x:c>
    </x:row>
    <x:row r="11">
      <x:c r="A11" s="256"/>
      <x:c r="B11" s="240" t="str">
        <x:f>IF($A11="","",IFERROR(VLOOKUP($A11,'Model Runs'!$A$5:$W$24,3,FALSE),""))</x:f>
      </x:c>
      <x:c r="C11" s="257" t="str">
        <x:f>IF($A11="","",IFERROR(VLOOKUP($A11,'Model Runs'!$A$5:$W$24,17,FALSE),""))</x:f>
      </x:c>
      <x:c r="D11" s="258" t="str">
        <x:f>IF($A11="","",IFERROR(VLOOKUP($A11,'Model Runs'!$A$5:$W$24,21,FALSE),""))</x:f>
      </x:c>
      <x:c r="E11" s="258" t="str">
        <x:f>IF($A11="","",IFERROR(VLOOKUP($A11,'Model Runs'!$A$5:$W$24,22,FALSE),""))</x:f>
      </x:c>
      <x:c r="F11" s="259" t="str">
        <x:f>IF($B11="","",IFERROR(VLOOKUP($B11,'Model Prices'!$A$5:$E$24,4,FALSE),""))</x:f>
      </x:c>
      <x:c r="G11" s="259" t="str">
        <x:f>IF($B11="","",IFERROR(VLOOKUP($B11,'Model Prices'!$A$5:$E$24,5,FALSE),""))</x:f>
      </x:c>
      <x:c r="H11" s="259" t="str">
        <x:f>IF($A11="","",IFERROR(VLOOKUP($A11,'Model Runs'!$A$5:$W$24,23,FALSE)/VLOOKUP($A11,'Model Runs'!$A$5:$W$24,14,FALSE),0))</x:f>
      </x:c>
      <x:c r="I11" s="259" t="str">
        <x:f>IF(OR(D11="",E11="",F11="",G11=""),"",D11/1000000*F11+E11/1000000*G11+H11)</x:f>
      </x:c>
      <x:c r="J11" s="259" t="str">
        <x:f>IF(C11="","",(1-C11)*$B$4)</x:f>
      </x:c>
      <x:c r="K11" s="259" t="str">
        <x:f>IF(OR(I11="",J11=""),"",I11+J11)</x:f>
      </x:c>
      <x:c r="L11" s="260" t="str">
        <x:f>IF(K11="","",K11*$B$3+$B$5)</x:f>
      </x:c>
      <x:c r="M11" s="261"/>
      <x:c r="N11" s="262" t="str">
        <x:f>IF(OR(D11="",E11="",F11="",G11=""),"",D11/1000000*F11+E11/1000000*G11)</x:f>
      </x:c>
    </x:row>
    <x:row r="12">
      <x:c r="A12" s="256"/>
      <x:c r="B12" s="240" t="str">
        <x:f>IF($A12="","",IFERROR(VLOOKUP($A12,'Model Runs'!$A$5:$W$24,3,FALSE),""))</x:f>
      </x:c>
      <x:c r="C12" s="257" t="str">
        <x:f>IF($A12="","",IFERROR(VLOOKUP($A12,'Model Runs'!$A$5:$W$24,17,FALSE),""))</x:f>
      </x:c>
      <x:c r="D12" s="258" t="str">
        <x:f>IF($A12="","",IFERROR(VLOOKUP($A12,'Model Runs'!$A$5:$W$24,21,FALSE),""))</x:f>
      </x:c>
      <x:c r="E12" s="258" t="str">
        <x:f>IF($A12="","",IFERROR(VLOOKUP($A12,'Model Runs'!$A$5:$W$24,22,FALSE),""))</x:f>
      </x:c>
      <x:c r="F12" s="259" t="str">
        <x:f>IF($B12="","",IFERROR(VLOOKUP($B12,'Model Prices'!$A$5:$E$24,4,FALSE),""))</x:f>
      </x:c>
      <x:c r="G12" s="259" t="str">
        <x:f>IF($B12="","",IFERROR(VLOOKUP($B12,'Model Prices'!$A$5:$E$24,5,FALSE),""))</x:f>
      </x:c>
      <x:c r="H12" s="259" t="str">
        <x:f>IF($A12="","",IFERROR(VLOOKUP($A12,'Model Runs'!$A$5:$W$24,23,FALSE)/VLOOKUP($A12,'Model Runs'!$A$5:$W$24,14,FALSE),0))</x:f>
      </x:c>
      <x:c r="I12" s="259" t="str">
        <x:f>IF(OR(D12="",E12="",F12="",G12=""),"",D12/1000000*F12+E12/1000000*G12+H12)</x:f>
      </x:c>
      <x:c r="J12" s="259" t="str">
        <x:f>IF(C12="","",(1-C12)*$B$4)</x:f>
      </x:c>
      <x:c r="K12" s="259" t="str">
        <x:f>IF(OR(I12="",J12=""),"",I12+J12)</x:f>
      </x:c>
      <x:c r="L12" s="260" t="str">
        <x:f>IF(K12="","",K12*$B$3+$B$5)</x:f>
      </x:c>
      <x:c r="M12" s="261"/>
      <x:c r="N12" s="262" t="str">
        <x:f>IF(OR(D12="",E12="",F12="",G12=""),"",D12/1000000*F12+E12/1000000*G12)</x:f>
      </x:c>
    </x:row>
    <x:row r="13">
      <x:c r="A13" s="256"/>
      <x:c r="B13" s="240" t="str">
        <x:f>IF($A13="","",IFERROR(VLOOKUP($A13,'Model Runs'!$A$5:$W$24,3,FALSE),""))</x:f>
      </x:c>
      <x:c r="C13" s="257" t="str">
        <x:f>IF($A13="","",IFERROR(VLOOKUP($A13,'Model Runs'!$A$5:$W$24,17,FALSE),""))</x:f>
      </x:c>
      <x:c r="D13" s="258" t="str">
        <x:f>IF($A13="","",IFERROR(VLOOKUP($A13,'Model Runs'!$A$5:$W$24,21,FALSE),""))</x:f>
      </x:c>
      <x:c r="E13" s="258" t="str">
        <x:f>IF($A13="","",IFERROR(VLOOKUP($A13,'Model Runs'!$A$5:$W$24,22,FALSE),""))</x:f>
      </x:c>
      <x:c r="F13" s="259" t="str">
        <x:f>IF($B13="","",IFERROR(VLOOKUP($B13,'Model Prices'!$A$5:$E$24,4,FALSE),""))</x:f>
      </x:c>
      <x:c r="G13" s="259" t="str">
        <x:f>IF($B13="","",IFERROR(VLOOKUP($B13,'Model Prices'!$A$5:$E$24,5,FALSE),""))</x:f>
      </x:c>
      <x:c r="H13" s="259" t="str">
        <x:f>IF($A13="","",IFERROR(VLOOKUP($A13,'Model Runs'!$A$5:$W$24,23,FALSE)/VLOOKUP($A13,'Model Runs'!$A$5:$W$24,14,FALSE),0))</x:f>
      </x:c>
      <x:c r="I13" s="259" t="str">
        <x:f>IF(OR(D13="",E13="",F13="",G13=""),"",D13/1000000*F13+E13/1000000*G13+H13)</x:f>
      </x:c>
      <x:c r="J13" s="259" t="str">
        <x:f>IF(C13="","",(1-C13)*$B$4)</x:f>
      </x:c>
      <x:c r="K13" s="259" t="str">
        <x:f>IF(OR(I13="",J13=""),"",I13+J13)</x:f>
      </x:c>
      <x:c r="L13" s="260" t="str">
        <x:f>IF(K13="","",K13*$B$3+$B$5)</x:f>
      </x:c>
      <x:c r="M13" s="261"/>
      <x:c r="N13" s="262" t="str">
        <x:f>IF(OR(D13="",E13="",F13="",G13=""),"",D13/1000000*F13+E13/1000000*G13)</x:f>
      </x:c>
    </x:row>
    <x:row r="14">
      <x:c r="A14" s="256"/>
      <x:c r="B14" s="240" t="str">
        <x:f>IF($A14="","",IFERROR(VLOOKUP($A14,'Model Runs'!$A$5:$W$24,3,FALSE),""))</x:f>
      </x:c>
      <x:c r="C14" s="257" t="str">
        <x:f>IF($A14="","",IFERROR(VLOOKUP($A14,'Model Runs'!$A$5:$W$24,17,FALSE),""))</x:f>
      </x:c>
      <x:c r="D14" s="258" t="str">
        <x:f>IF($A14="","",IFERROR(VLOOKUP($A14,'Model Runs'!$A$5:$W$24,21,FALSE),""))</x:f>
      </x:c>
      <x:c r="E14" s="258" t="str">
        <x:f>IF($A14="","",IFERROR(VLOOKUP($A14,'Model Runs'!$A$5:$W$24,22,FALSE),""))</x:f>
      </x:c>
      <x:c r="F14" s="259" t="str">
        <x:f>IF($B14="","",IFERROR(VLOOKUP($B14,'Model Prices'!$A$5:$E$24,4,FALSE),""))</x:f>
      </x:c>
      <x:c r="G14" s="259" t="str">
        <x:f>IF($B14="","",IFERROR(VLOOKUP($B14,'Model Prices'!$A$5:$E$24,5,FALSE),""))</x:f>
      </x:c>
      <x:c r="H14" s="259" t="str">
        <x:f>IF($A14="","",IFERROR(VLOOKUP($A14,'Model Runs'!$A$5:$W$24,23,FALSE)/VLOOKUP($A14,'Model Runs'!$A$5:$W$24,14,FALSE),0))</x:f>
      </x:c>
      <x:c r="I14" s="259" t="str">
        <x:f>IF(OR(D14="",E14="",F14="",G14=""),"",D14/1000000*F14+E14/1000000*G14+H14)</x:f>
      </x:c>
      <x:c r="J14" s="259" t="str">
        <x:f>IF(C14="","",(1-C14)*$B$4)</x:f>
      </x:c>
      <x:c r="K14" s="259" t="str">
        <x:f>IF(OR(I14="",J14=""),"",I14+J14)</x:f>
      </x:c>
      <x:c r="L14" s="260" t="str">
        <x:f>IF(K14="","",K14*$B$3+$B$5)</x:f>
      </x:c>
      <x:c r="M14" s="261"/>
      <x:c r="N14" s="262" t="str">
        <x:f>IF(OR(D14="",E14="",F14="",G14=""),"",D14/1000000*F14+E14/1000000*G14)</x:f>
      </x:c>
    </x:row>
    <x:row r="15">
      <x:c r="A15" s="256"/>
      <x:c r="B15" s="240" t="str">
        <x:f>IF($A15="","",IFERROR(VLOOKUP($A15,'Model Runs'!$A$5:$W$24,3,FALSE),""))</x:f>
      </x:c>
      <x:c r="C15" s="257" t="str">
        <x:f>IF($A15="","",IFERROR(VLOOKUP($A15,'Model Runs'!$A$5:$W$24,17,FALSE),""))</x:f>
      </x:c>
      <x:c r="D15" s="258" t="str">
        <x:f>IF($A15="","",IFERROR(VLOOKUP($A15,'Model Runs'!$A$5:$W$24,21,FALSE),""))</x:f>
      </x:c>
      <x:c r="E15" s="258" t="str">
        <x:f>IF($A15="","",IFERROR(VLOOKUP($A15,'Model Runs'!$A$5:$W$24,22,FALSE),""))</x:f>
      </x:c>
      <x:c r="F15" s="259" t="str">
        <x:f>IF($B15="","",IFERROR(VLOOKUP($B15,'Model Prices'!$A$5:$E$24,4,FALSE),""))</x:f>
      </x:c>
      <x:c r="G15" s="259" t="str">
        <x:f>IF($B15="","",IFERROR(VLOOKUP($B15,'Model Prices'!$A$5:$E$24,5,FALSE),""))</x:f>
      </x:c>
      <x:c r="H15" s="259" t="str">
        <x:f>IF($A15="","",IFERROR(VLOOKUP($A15,'Model Runs'!$A$5:$W$24,23,FALSE)/VLOOKUP($A15,'Model Runs'!$A$5:$W$24,14,FALSE),0))</x:f>
      </x:c>
      <x:c r="I15" s="259" t="str">
        <x:f>IF(OR(D15="",E15="",F15="",G15=""),"",D15/1000000*F15+E15/1000000*G15+H15)</x:f>
      </x:c>
      <x:c r="J15" s="259" t="str">
        <x:f>IF(C15="","",(1-C15)*$B$4)</x:f>
      </x:c>
      <x:c r="K15" s="259" t="str">
        <x:f>IF(OR(I15="",J15=""),"",I15+J15)</x:f>
      </x:c>
      <x:c r="L15" s="260" t="str">
        <x:f>IF(K15="","",K15*$B$3+$B$5)</x:f>
      </x:c>
      <x:c r="M15" s="261"/>
      <x:c r="N15" s="262" t="str">
        <x:f>IF(OR(D15="",E15="",F15="",G15=""),"",D15/1000000*F15+E15/1000000*G15)</x:f>
      </x:c>
    </x:row>
    <x:row r="16">
      <x:c r="A16" s="256"/>
      <x:c r="B16" s="240" t="str">
        <x:f>IF($A16="","",IFERROR(VLOOKUP($A16,'Model Runs'!$A$5:$W$24,3,FALSE),""))</x:f>
      </x:c>
      <x:c r="C16" s="257" t="str">
        <x:f>IF($A16="","",IFERROR(VLOOKUP($A16,'Model Runs'!$A$5:$W$24,17,FALSE),""))</x:f>
      </x:c>
      <x:c r="D16" s="258" t="str">
        <x:f>IF($A16="","",IFERROR(VLOOKUP($A16,'Model Runs'!$A$5:$W$24,21,FALSE),""))</x:f>
      </x:c>
      <x:c r="E16" s="258" t="str">
        <x:f>IF($A16="","",IFERROR(VLOOKUP($A16,'Model Runs'!$A$5:$W$24,22,FALSE),""))</x:f>
      </x:c>
      <x:c r="F16" s="259" t="str">
        <x:f>IF($B16="","",IFERROR(VLOOKUP($B16,'Model Prices'!$A$5:$E$24,4,FALSE),""))</x:f>
      </x:c>
      <x:c r="G16" s="259" t="str">
        <x:f>IF($B16="","",IFERROR(VLOOKUP($B16,'Model Prices'!$A$5:$E$24,5,FALSE),""))</x:f>
      </x:c>
      <x:c r="H16" s="259" t="str">
        <x:f>IF($A16="","",IFERROR(VLOOKUP($A16,'Model Runs'!$A$5:$W$24,23,FALSE)/VLOOKUP($A16,'Model Runs'!$A$5:$W$24,14,FALSE),0))</x:f>
      </x:c>
      <x:c r="I16" s="259" t="str">
        <x:f>IF(OR(D16="",E16="",F16="",G16=""),"",D16/1000000*F16+E16/1000000*G16+H16)</x:f>
      </x:c>
      <x:c r="J16" s="259" t="str">
        <x:f>IF(C16="","",(1-C16)*$B$4)</x:f>
      </x:c>
      <x:c r="K16" s="259" t="str">
        <x:f>IF(OR(I16="",J16=""),"",I16+J16)</x:f>
      </x:c>
      <x:c r="L16" s="260" t="str">
        <x:f>IF(K16="","",K16*$B$3+$B$5)</x:f>
      </x:c>
      <x:c r="M16" s="261"/>
      <x:c r="N16" s="262" t="str">
        <x:f>IF(OR(D16="",E16="",F16="",G16=""),"",D16/1000000*F16+E16/1000000*G16)</x:f>
      </x:c>
    </x:row>
    <x:row r="17">
      <x:c r="A17" s="263"/>
      <x:c r="B17" s="243" t="str">
        <x:f>IF($A17="","",IFERROR(VLOOKUP($A17,'Model Runs'!$A$5:$W$24,3,FALSE),""))</x:f>
      </x:c>
      <x:c r="C17" s="264" t="str">
        <x:f>IF($A17="","",IFERROR(VLOOKUP($A17,'Model Runs'!$A$5:$W$24,17,FALSE),""))</x:f>
      </x:c>
      <x:c r="D17" s="265" t="str">
        <x:f>IF($A17="","",IFERROR(VLOOKUP($A17,'Model Runs'!$A$5:$W$24,21,FALSE),""))</x:f>
      </x:c>
      <x:c r="E17" s="265" t="str">
        <x:f>IF($A17="","",IFERROR(VLOOKUP($A17,'Model Runs'!$A$5:$W$24,22,FALSE),""))</x:f>
      </x:c>
      <x:c r="F17" s="266" t="str">
        <x:f>IF($B17="","",IFERROR(VLOOKUP($B17,'Model Prices'!$A$5:$E$24,4,FALSE),""))</x:f>
      </x:c>
      <x:c r="G17" s="266" t="str">
        <x:f>IF($B17="","",IFERROR(VLOOKUP($B17,'Model Prices'!$A$5:$E$24,5,FALSE),""))</x:f>
      </x:c>
      <x:c r="H17" s="266" t="str">
        <x:f>IF($A17="","",IFERROR(VLOOKUP($A17,'Model Runs'!$A$5:$W$24,23,FALSE)/VLOOKUP($A17,'Model Runs'!$A$5:$W$24,14,FALSE),0))</x:f>
      </x:c>
      <x:c r="I17" s="266" t="str">
        <x:f>IF(OR(D17="",E17="",F17="",G17=""),"",D17/1000000*F17+E17/1000000*G17+H17)</x:f>
      </x:c>
      <x:c r="J17" s="266" t="str">
        <x:f>IF(C17="","",(1-C17)*$B$4)</x:f>
      </x:c>
      <x:c r="K17" s="266" t="str">
        <x:f>IF(OR(I17="",J17=""),"",I17+J17)</x:f>
      </x:c>
      <x:c r="L17" s="267" t="str">
        <x:f>IF(K17="","",K17*$B$3+$B$5)</x:f>
      </x:c>
      <x:c r="M17" s="268"/>
      <x:c r="N17" s="269" t="str">
        <x:f>IF(OR(D17="",E17="",F17="",G17=""),"",D17/1000000*F17+E17/1000000*G17)</x:f>
      </x:c>
    </x:row>
  </x:sheetData>
  <x:mergeCells>
    <x:mergeCell ref="A1:N1"/>
    <x:mergeCell ref="A2:N2"/>
    <x:mergeCell ref="D3:N3"/>
    <x:mergeCell ref="D4:N4"/>
    <x:mergeCell ref="D5:N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284" t="str">
        <x:v>Sensitivity · success rate ±10 percentage points</x:v>
      </x:c>
      <x:c r="B1" s="284" t="str">
        <x:v>Sensitivity · success rate ±10 percentage points</x:v>
      </x:c>
      <x:c r="C1" s="284" t="str">
        <x:v>Sensitivity · success rate ±10 percentage points</x:v>
      </x:c>
      <x:c r="D1" s="284" t="str">
        <x:v>Sensitivity · success rate ±10 percentage points</x:v>
      </x:c>
      <x:c r="E1" s="284" t="str">
        <x:v>Sensitivity · success rate ±10 percentage points</x:v>
      </x:c>
      <x:c r="F1" s="284" t="str">
        <x:v>Sensitivity · success rate ±10 percentage points</x:v>
      </x:c>
      <x:c r="G1" s="284" t="str">
        <x:v>Sensitivity · success rate ±10 percentage points</x:v>
      </x:c>
    </x:row>
    <x:row r="2" ht="32" customHeight="1">
      <x:c r="A2" s="172" t="str">
        <x:v>Choose one Run Key. The table tests downside, base and upside success rates while holding the measured Layer 1 cost constant.</x:v>
      </x:c>
      <x:c r="B2" s="172" t="str">
        <x:v>Choose one Run Key. The table tests downside, base and upside success rates while holding the measured Layer 1 cost constant.</x:v>
      </x:c>
      <x:c r="C2" s="172" t="str">
        <x:v>Choose one Run Key. The table tests downside, base and upside success rates while holding the measured Layer 1 cost constant.</x:v>
      </x:c>
      <x:c r="D2" s="172" t="str">
        <x:v>Choose one Run Key. The table tests downside, base and upside success rates while holding the measured Layer 1 cost constant.</x:v>
      </x:c>
      <x:c r="E2" s="172" t="str">
        <x:v>Choose one Run Key. The table tests downside, base and upside success rates while holding the measured Layer 1 cost constant.</x:v>
      </x:c>
      <x:c r="F2" s="172" t="str">
        <x:v>Choose one Run Key. The table tests downside, base and upside success rates while holding the measured Layer 1 cost constant.</x:v>
      </x:c>
      <x:c r="G2" s="172" t="str">
        <x:v>Choose one Run Key. The table tests downside, base and upside success rates while holding the measured Layer 1 cost constant.</x:v>
      </x:c>
    </x:row>
    <x:row r="3">
      <x:c r="A3" s="245" t="str">
        <x:v>Selected Run Key</x:v>
      </x:c>
      <x:c r="B3" s="270"/>
      <x:c r="C3" s="173"/>
      <x:c r="D3" s="173"/>
      <x:c r="E3" s="173"/>
      <x:c r="F3" s="173"/>
      <x:c r="G3" s="173"/>
    </x:row>
    <x:row r="4">
      <x:c r="A4" s="245" t="str">
        <x:v>Base pass rate</x:v>
      </x:c>
      <x:c r="B4" s="236" t="str">
        <x:f>IF(B3="","",IFERROR(VLOOKUP(B3,'Cost Calculator'!$A$8:$N$17,3,FALSE),""))</x:f>
      </x:c>
      <x:c r="C4" s="173"/>
      <x:c r="D4" s="173"/>
      <x:c r="E4" s="173"/>
      <x:c r="F4" s="173"/>
      <x:c r="G4" s="173"/>
    </x:row>
    <x:row r="5">
      <x:c r="A5" s="245" t="str">
        <x:v>Layer 1 cost USD/run</x:v>
      </x:c>
      <x:c r="B5" s="269" t="str">
        <x:f>IF(B3="","",IFERROR(VLOOKUP(B3,'Cost Calculator'!$A$8:$N$17,9,FALSE),""))</x:f>
      </x:c>
      <x:c r="C5" s="173"/>
      <x:c r="D5" s="173"/>
      <x:c r="E5" s="173"/>
      <x:c r="F5" s="173"/>
      <x:c r="G5" s="173"/>
    </x:row>
    <x:row r="6">
      <x:c r="A6" s="245" t="str">
        <x:v>Monthly volume</x:v>
      </x:c>
      <x:c r="B6" s="246" t="n">
        <x:v>8000</x:v>
      </x:c>
      <x:c r="C6" s="173"/>
      <x:c r="D6" s="173"/>
      <x:c r="E6" s="173"/>
      <x:c r="F6" s="173"/>
      <x:c r="G6" s="173"/>
    </x:row>
    <x:row r="7">
      <x:c r="A7" s="245" t="str">
        <x:v>Fixed monthly cost USD</x:v>
      </x:c>
      <x:c r="B7" s="268" t="n">
        <x:v>0</x:v>
      </x:c>
      <x:c r="C7" s="173"/>
      <x:c r="D7" s="173"/>
      <x:c r="E7" s="173"/>
      <x:c r="F7" s="173"/>
      <x:c r="G7" s="173"/>
    </x:row>
    <x:row r="8">
      <x:c r="A8" s="173"/>
      <x:c r="B8" s="173"/>
      <x:c r="C8" s="173"/>
      <x:c r="D8" s="173"/>
      <x:c r="E8" s="173"/>
      <x:c r="F8" s="173"/>
      <x:c r="G8" s="173"/>
    </x:row>
    <x:row r="9">
      <x:c r="A9" s="173"/>
      <x:c r="B9" s="173"/>
      <x:c r="C9" s="173"/>
      <x:c r="D9" s="173"/>
      <x:c r="E9" s="173"/>
      <x:c r="F9" s="173"/>
      <x:c r="G9" s="173"/>
    </x:row>
    <x:row r="10" ht="38" customHeight="1">
      <x:c r="A10" s="285" t="str">
        <x:v>Scenario</x:v>
      </x:c>
      <x:c r="B10" s="285" t="str">
        <x:v>Delta</x:v>
      </x:c>
      <x:c r="C10" s="285" t="str">
        <x:v>Success Rate</x:v>
      </x:c>
      <x:c r="D10" s="285" t="str">
        <x:v>Layer 1 USD/Run</x:v>
      </x:c>
      <x:c r="E10" s="285" t="str">
        <x:v>Fallback USD/Task</x:v>
      </x:c>
      <x:c r="F10" s="285" t="str">
        <x:v>Cost/Task USD</x:v>
      </x:c>
      <x:c r="G10" s="285" t="str">
        <x:v>Monthly Cost USD</x:v>
      </x:c>
    </x:row>
    <x:row r="11">
      <x:c r="A11" s="197" t="str">
        <x:v>Downside</x:v>
      </x:c>
      <x:c r="B11" s="271" t="n">
        <x:v>-0.1</x:v>
      </x:c>
      <x:c r="C11" s="202" t="str">
        <x:f>IF($B$4="","",MAX(0,MIN(1,$B$4+B11)))</x:f>
      </x:c>
      <x:c r="D11" s="252" t="str">
        <x:f>IF($B$5="","",$B$5)</x:f>
      </x:c>
      <x:c r="E11" s="252" t="str">
        <x:f>IF(C11="","",(1-C11)*7.6)</x:f>
      </x:c>
      <x:c r="F11" s="252" t="str">
        <x:f>IF(OR(D11="",E11=""),"",D11+E11)</x:f>
      </x:c>
      <x:c r="G11" s="253" t="str">
        <x:f>IF(F11="","",F11*$B$6+$B$7)</x:f>
      </x:c>
    </x:row>
    <x:row r="12">
      <x:c r="A12" s="210" t="str">
        <x:v>Base</x:v>
      </x:c>
      <x:c r="B12" s="272" t="n">
        <x:v>0</x:v>
      </x:c>
      <x:c r="C12" s="215" t="str">
        <x:f>IF($B$4="","",MAX(0,MIN(1,$B$4+B12)))</x:f>
      </x:c>
      <x:c r="D12" s="259" t="str">
        <x:f>IF($B$5="","",$B$5)</x:f>
      </x:c>
      <x:c r="E12" s="259" t="str">
        <x:f>IF(C12="","",(1-C12)*7.6)</x:f>
      </x:c>
      <x:c r="F12" s="259" t="str">
        <x:f>IF(OR(D12="",E12=""),"",D12+E12)</x:f>
      </x:c>
      <x:c r="G12" s="260" t="str">
        <x:f>IF(F12="","",F12*$B$6+$B$7)</x:f>
      </x:c>
    </x:row>
    <x:row r="13">
      <x:c r="A13" s="223" t="str">
        <x:v>Upside</x:v>
      </x:c>
      <x:c r="B13" s="273" t="n">
        <x:v>0.1</x:v>
      </x:c>
      <x:c r="C13" s="228" t="str">
        <x:f>IF($B$4="","",MAX(0,MIN(1,$B$4+B13)))</x:f>
      </x:c>
      <x:c r="D13" s="266" t="str">
        <x:f>IF($B$5="","",$B$5)</x:f>
      </x:c>
      <x:c r="E13" s="266" t="str">
        <x:f>IF(C13="","",(1-C13)*7.6)</x:f>
      </x:c>
      <x:c r="F13" s="266" t="str">
        <x:f>IF(OR(D13="",E13=""),"",D13+E13)</x:f>
      </x:c>
      <x:c r="G13" s="267" t="str">
        <x:f>IF(F13="","",F13*$B$6+$B$7)</x:f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0" customHeight="1">
      <x:c r="A1" s="284" t="str">
        <x:v>Break-even success rate</x:v>
      </x:c>
      <x:c r="B1" s="284" t="str">
        <x:v>Break-even success rate</x:v>
      </x:c>
      <x:c r="C1" s="284" t="str">
        <x:v>Break-even success rate</x:v>
      </x:c>
      <x:c r="D1" s="284" t="str">
        <x:v>Break-even success rate</x:v>
      </x:c>
      <x:c r="E1" s="284" t="str">
        <x:v>Break-even success rate</x:v>
      </x:c>
    </x:row>
    <x:row r="2" ht="32" customHeight="1">
      <x:c r="A2" s="172" t="str">
        <x:v>C = cheap model token-only cost/run; E = expensive model all-in cost/task; F = manual failure cost. Formula: 1 − (E − C) / F.</x:v>
      </x:c>
      <x:c r="B2" s="172" t="str">
        <x:v>C = cheap model token-only cost/run; E = expensive model all-in cost/task; F = manual failure cost. Formula: 1 − (E − C) / F.</x:v>
      </x:c>
      <x:c r="C2" s="172" t="str">
        <x:v>C = cheap model token-only cost/run; E = expensive model all-in cost/task; F = manual failure cost. Formula: 1 − (E − C) / F.</x:v>
      </x:c>
      <x:c r="D2" s="172" t="str">
        <x:v>C = cheap model token-only cost/run; E = expensive model all-in cost/task; F = manual failure cost. Formula: 1 − (E − C) / F.</x:v>
      </x:c>
      <x:c r="E2" s="172" t="str">
        <x:v>C = cheap model token-only cost/run; E = expensive model all-in cost/task; F = manual failure cost. Formula: 1 − (E − C) / F.</x:v>
      </x:c>
    </x:row>
    <x:row r="3">
      <x:c r="A3" s="173"/>
      <x:c r="B3" s="173"/>
      <x:c r="C3" s="173"/>
      <x:c r="D3" s="173"/>
      <x:c r="E3" s="173"/>
    </x:row>
    <x:row r="4">
      <x:c r="A4" s="274" t="str">
        <x:v>Cheap Run Key</x:v>
      </x:c>
      <x:c r="B4" s="249"/>
      <x:c r="C4" s="173"/>
      <x:c r="D4" s="173"/>
      <x:c r="E4" s="173"/>
    </x:row>
    <x:row r="5">
      <x:c r="A5" s="274" t="str">
        <x:v>Expensive Run Key</x:v>
      </x:c>
      <x:c r="B5" s="263"/>
      <x:c r="C5" s="173"/>
      <x:c r="D5" s="173"/>
      <x:c r="E5" s="173"/>
    </x:row>
    <x:row r="6">
      <x:c r="A6" s="274" t="str">
        <x:v>C: Cheap token-only USD/run</x:v>
      </x:c>
      <x:c r="B6" s="255" t="str">
        <x:f>IF(B4="","",IFERROR(VLOOKUP(B4,'Cost Calculator'!$A$8:$N$17,14,FALSE),""))</x:f>
      </x:c>
      <x:c r="C6" s="173"/>
      <x:c r="D6" s="173"/>
      <x:c r="E6" s="173"/>
    </x:row>
    <x:row r="7">
      <x:c r="A7" s="274" t="str">
        <x:v>E: Expensive all-in USD/task</x:v>
      </x:c>
      <x:c r="B7" s="269" t="str">
        <x:f>IF(B5="","",IFERROR(VLOOKUP(B5,'Cost Calculator'!$A$8:$N$17,11,FALSE),""))</x:f>
      </x:c>
      <x:c r="C7" s="173"/>
      <x:c r="D7" s="173"/>
      <x:c r="E7" s="173"/>
    </x:row>
    <x:row r="8">
      <x:c r="A8" s="274" t="str">
        <x:v>F: Failure cost USD/task</x:v>
      </x:c>
      <x:c r="B8" s="275" t="n">
        <x:v>7.6</x:v>
      </x:c>
      <x:c r="C8" s="173"/>
      <x:c r="D8" s="173"/>
      <x:c r="E8" s="173"/>
    </x:row>
    <x:row r="9">
      <x:c r="A9" s="274" t="str">
        <x:v>Break-even success rate</x:v>
      </x:c>
      <x:c r="B9" s="236" t="str">
        <x:f>IF(OR(B6="",B7="",B8=0),"",1-(B7-B6)/B8)</x:f>
      </x:c>
      <x:c r="C9" s="173"/>
      <x:c r="D9" s="173"/>
      <x:c r="E9" s="173"/>
    </x:row>
    <x:row r="10">
      <x:c r="A10" s="274" t="str">
        <x:v>Interpretation</x:v>
      </x:c>
      <x:c r="B10" s="227" t="str">
        <x:f>IF(B9="","Choose two completed runs",IF(B9&lt;0,"Expensive model is already cost-competitive",IF(B9&gt;1,"Cheap model cannot break even within 0–100%","Cheap model must reach at least the break-even rate")))</x:f>
        <x:v>Choose two completed runs</x:v>
      </x:c>
      <x:c r="C10" s="173"/>
      <x:c r="D10" s="173"/>
      <x:c r="E10" s="173"/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36" hidden="0" customWidth="1"/>
  </x:cols>
  <x:sheetData>
    <x:row r="1" ht="30" customHeight="1">
      <x:c r="A1" s="284" t="str">
        <x:v>Cost Ledger · four required cost levers</x:v>
      </x:c>
      <x:c r="B1" s="284" t="str">
        <x:v>Cost Ledger · four required cost levers</x:v>
      </x:c>
      <x:c r="C1" s="284" t="str">
        <x:v>Cost Ledger · four required cost levers</x:v>
      </x:c>
      <x:c r="D1" s="284" t="str">
        <x:v>Cost Ledger · four required cost levers</x:v>
      </x:c>
      <x:c r="E1" s="284" t="str">
        <x:v>Cost Ledger · four required cost levers</x:v>
      </x:c>
      <x:c r="F1" s="284" t="str">
        <x:v>Cost Ledger · four required cost levers</x:v>
      </x:c>
      <x:c r="G1" s="284" t="str">
        <x:v>Cost Ledger · four required cost levers</x:v>
      </x:c>
      <x:c r="H1" s="284" t="str">
        <x:v>Cost Ledger · four required cost levers</x:v>
      </x:c>
      <x:c r="I1" s="284" t="str">
        <x:v>Cost Ledger · four required cost levers</x:v>
      </x:c>
      <x:c r="J1" s="284" t="str">
        <x:v>Cost Ledger · four required cost levers</x:v>
      </x:c>
    </x:row>
    <x:row r="2" ht="32" customHeight="1">
      <x:c r="A2" s="172" t="str">
        <x:v>Record before/after measurements and evidence. A lower value is usually better for B/T/D; a higher value is better for P.</x:v>
      </x:c>
      <x:c r="B2" s="172" t="str">
        <x:v>Record before/after measurements and evidence. A lower value is usually better for B/T/D; a higher value is better for P.</x:v>
      </x:c>
      <x:c r="C2" s="172" t="str">
        <x:v>Record before/after measurements and evidence. A lower value is usually better for B/T/D; a higher value is better for P.</x:v>
      </x:c>
      <x:c r="D2" s="172" t="str">
        <x:v>Record before/after measurements and evidence. A lower value is usually better for B/T/D; a higher value is better for P.</x:v>
      </x:c>
      <x:c r="E2" s="172" t="str">
        <x:v>Record before/after measurements and evidence. A lower value is usually better for B/T/D; a higher value is better for P.</x:v>
      </x:c>
      <x:c r="F2" s="172" t="str">
        <x:v>Record before/after measurements and evidence. A lower value is usually better for B/T/D; a higher value is better for P.</x:v>
      </x:c>
      <x:c r="G2" s="172" t="str">
        <x:v>Record before/after measurements and evidence. A lower value is usually better for B/T/D; a higher value is better for P.</x:v>
      </x:c>
      <x:c r="H2" s="172" t="str">
        <x:v>Record before/after measurements and evidence. A lower value is usually better for B/T/D; a higher value is better for P.</x:v>
      </x:c>
      <x:c r="I2" s="172" t="str">
        <x:v>Record before/after measurements and evidence. A lower value is usually better for B/T/D; a higher value is better for P.</x:v>
      </x:c>
      <x:c r="J2" s="172" t="str">
        <x:v>Record before/after measurements and evidence. A lower value is usually better for B/T/D; a higher value is better for P.</x:v>
      </x:c>
    </x:row>
    <x:row r="3">
      <x:c r="A3" s="173"/>
      <x:c r="B3" s="173"/>
      <x:c r="C3" s="173"/>
      <x:c r="D3" s="173"/>
      <x:c r="E3" s="173"/>
      <x:c r="F3" s="173"/>
      <x:c r="G3" s="173"/>
      <x:c r="H3" s="173"/>
      <x:c r="I3" s="173"/>
      <x:c r="J3" s="173"/>
    </x:row>
    <x:row r="4" ht="38" customHeight="1">
      <x:c r="A4" s="285" t="str">
        <x:v>Lever</x:v>
      </x:c>
      <x:c r="B4" s="285" t="str">
        <x:v>What to measure</x:v>
      </x:c>
      <x:c r="C4" s="285" t="str">
        <x:v>Before</x:v>
      </x:c>
      <x:c r="D4" s="285" t="str">
        <x:v>After</x:v>
      </x:c>
      <x:c r="E4" s="285" t="str">
        <x:v>Unit</x:v>
      </x:c>
      <x:c r="F4" s="285" t="str">
        <x:v>Absolute change</x:v>
      </x:c>
      <x:c r="G4" s="285" t="str">
        <x:v>% change</x:v>
      </x:c>
      <x:c r="H4" s="285" t="str">
        <x:v>Evidence File</x:v>
      </x:c>
      <x:c r="I4" s="285" t="str">
        <x:v>Owner</x:v>
      </x:c>
      <x:c r="J4" s="285" t="str">
        <x:v>Interpretation</x:v>
      </x:c>
    </x:row>
    <x:row r="5">
      <x:c r="A5" s="185" t="str">
        <x:v>B · Tool block size</x:v>
      </x:c>
      <x:c r="B5" s="176" t="str">
        <x:v>Tool-definition tokens</x:v>
      </x:c>
      <x:c r="C5" s="276"/>
      <x:c r="D5" s="276"/>
      <x:c r="E5" s="276" t="str">
        <x:v>tokens</x:v>
      </x:c>
      <x:c r="F5" s="277" t="str">
        <x:f>IF(OR(C5="",D5=""),"",D5-C5)</x:f>
      </x:c>
      <x:c r="G5" s="278" t="str">
        <x:f>IFERROR((D5-C5)/C5,"")</x:f>
      </x:c>
      <x:c r="H5" s="276"/>
      <x:c r="I5" s="276"/>
      <x:c r="J5" s="276"/>
    </x:row>
    <x:row r="6">
      <x:c r="A6" s="186" t="str">
        <x:v>T · Turn count</x:v>
      </x:c>
      <x:c r="B6" s="179" t="str">
        <x:v>Sequential vs parallel turns / input tokens</x:v>
      </x:c>
      <x:c r="C6" s="279"/>
      <x:c r="D6" s="279"/>
      <x:c r="E6" s="279" t="str">
        <x:v>turns or tokens</x:v>
      </x:c>
      <x:c r="F6" s="280" t="str">
        <x:f>IF(OR(C6="",D6=""),"",D6-C6)</x:f>
      </x:c>
      <x:c r="G6" s="281" t="str">
        <x:f>IFERROR((D6-C6)/C6,"")</x:f>
      </x:c>
      <x:c r="H6" s="279"/>
      <x:c r="I6" s="279"/>
      <x:c r="J6" s="279"/>
    </x:row>
    <x:row r="7">
      <x:c r="A7" s="186" t="str">
        <x:v>D · Observation size</x:v>
      </x:c>
      <x:c r="B7" s="179" t="str">
        <x:v>Descriptor return tokens per call (v1 vs v2)</x:v>
      </x:c>
      <x:c r="C7" s="279"/>
      <x:c r="D7" s="279"/>
      <x:c r="E7" s="279" t="str">
        <x:v>tokens/call</x:v>
      </x:c>
      <x:c r="F7" s="280" t="str">
        <x:f>IF(OR(C7="",D7=""),"",D7-C7)</x:f>
      </x:c>
      <x:c r="G7" s="281" t="str">
        <x:f>IFERROR((D7-C7)/C7,"")</x:f>
      </x:c>
      <x:c r="H7" s="279"/>
      <x:c r="I7" s="279"/>
      <x:c r="J7" s="279"/>
    </x:row>
    <x:row r="8">
      <x:c r="A8" s="187" t="str">
        <x:v>P · Success rate</x:v>
      </x:c>
      <x:c r="B8" s="182" t="str">
        <x:v>Measured pass rate and implied fallback cost</x:v>
      </x:c>
      <x:c r="C8" s="279"/>
      <x:c r="D8" s="279"/>
      <x:c r="E8" s="279" t="str">
        <x:v>%</x:v>
      </x:c>
      <x:c r="F8" s="280" t="str">
        <x:f>IF(OR(C8="",D8=""),"",D8-C8)</x:f>
      </x:c>
      <x:c r="G8" s="281" t="str">
        <x:f>IFERROR((D8-C8)/C8,"")</x:f>
      </x:c>
      <x:c r="H8" s="279"/>
      <x:c r="I8" s="279"/>
      <x:c r="J8" s="279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7" hidden="0" customWidth="1"/>
    <x:col min="7" max="7" width="25" hidden="0" customWidth="1"/>
    <x:col min="8" max="8" width="41" hidden="0" customWidth="1"/>
  </x:cols>
  <x:sheetData>
    <x:row r="1" ht="30" customHeight="1">
      <x:c r="A1" s="284" t="str">
        <x:v>Checks · completeness, caps and assignment constraints</x:v>
      </x:c>
      <x:c r="B1" s="284" t="str">
        <x:v>Checks · completeness, caps and assignment constraints</x:v>
      </x:c>
      <x:c r="C1" s="284" t="str">
        <x:v>Checks · completeness, caps and assignment constraints</x:v>
      </x:c>
      <x:c r="D1" s="284" t="str">
        <x:v>Checks · completeness, caps and assignment constraints</x:v>
      </x:c>
      <x:c r="E1" s="284" t="str">
        <x:v>Checks · completeness, caps and assignment constraints</x:v>
      </x:c>
      <x:c r="F1" s="284" t="str">
        <x:v>Checks · completeness, caps and assignment constraints</x:v>
      </x:c>
      <x:c r="G1" s="284" t="str">
        <x:v>Checks · completeness, caps and assignment constraints</x:v>
      </x:c>
      <x:c r="H1" s="284" t="str">
        <x:v>Checks · completeness, caps and assignment constraints</x:v>
      </x:c>
    </x:row>
    <x:row r="2" ht="32" customHeight="1">
      <x:c r="A2" s="172" t="str">
        <x:v>MODEL STATUS is PASS only when all required inputs and controls are complete. Fix failures before using figures in the report.</x:v>
      </x:c>
      <x:c r="B2" s="172" t="str">
        <x:v>MODEL STATUS is PASS only when all required inputs and controls are complete. Fix failures before using figures in the report.</x:v>
      </x:c>
      <x:c r="C2" s="172" t="str">
        <x:v>MODEL STATUS is PASS only when all required inputs and controls are complete. Fix failures before using figures in the report.</x:v>
      </x:c>
      <x:c r="D2" s="172" t="str">
        <x:v>MODEL STATUS is PASS only when all required inputs and controls are complete. Fix failures before using figures in the report.</x:v>
      </x:c>
      <x:c r="E2" s="172" t="str">
        <x:v>MODEL STATUS is PASS only when all required inputs and controls are complete. Fix failures before using figures in the report.</x:v>
      </x:c>
      <x:c r="F2" s="172" t="str">
        <x:v>MODEL STATUS is PASS only when all required inputs and controls are complete. Fix failures before using figures in the report.</x:v>
      </x:c>
      <x:c r="G2" s="172" t="str">
        <x:v>MODEL STATUS is PASS only when all required inputs and controls are complete. Fix failures before using figures in the report.</x:v>
      </x:c>
      <x:c r="H2" s="172" t="str">
        <x:v>MODEL STATUS is PASS only when all required inputs and controls are complete. Fix failures before using figures in the report.</x:v>
      </x:c>
    </x:row>
    <x:row r="3">
      <x:c r="A3" s="173"/>
      <x:c r="B3" s="173"/>
      <x:c r="C3" s="173"/>
      <x:c r="D3" s="173"/>
      <x:c r="E3" s="173"/>
      <x:c r="F3" s="173"/>
      <x:c r="G3" s="173"/>
      <x:c r="H3" s="173"/>
    </x:row>
    <x:row r="4" ht="38" customHeight="1">
      <x:c r="A4" s="285" t="str">
        <x:v>Check</x:v>
      </x:c>
      <x:c r="B4" s="285" t="str">
        <x:v>Required / Limit</x:v>
      </x:c>
      <x:c r="C4" s="285" t="str">
        <x:v>Measured</x:v>
      </x:c>
      <x:c r="D4" s="285" t="str">
        <x:v>Unit</x:v>
      </x:c>
      <x:c r="E4" s="285" t="str">
        <x:v>Result</x:v>
      </x:c>
      <x:c r="F4" s="285" t="str">
        <x:v>Where to fix</x:v>
      </x:c>
      <x:c r="G4" s="285" t="str">
        <x:v>Evidence</x:v>
      </x:c>
      <x:c r="H4" s="285" t="str">
        <x:v>Notes</x:v>
      </x:c>
    </x:row>
    <x:row r="5">
      <x:c r="A5" s="185" t="str">
        <x:v>Ready live-run records</x:v>
      </x:c>
      <x:c r="B5" s="176" t="n">
        <x:v>3</x:v>
      </x:c>
      <x:c r="C5" s="277" t="n">
        <x:f>COUNTIF('Model Runs'!$AA$5:$AA$24,"READY")</x:f>
        <x:v>0</x:v>
      </x:c>
      <x:c r="D5" s="176" t="str">
        <x:v>records</x:v>
      </x:c>
      <x:c r="E5" s="277" t="str">
        <x:f>IF(C5&gt;=B5,"PASS","FAIL")</x:f>
        <x:v>FAIL</x:v>
      </x:c>
      <x:c r="F5" s="176" t="str">
        <x:v>Model Runs</x:v>
      </x:c>
      <x:c r="G5" s="276" t="str">
        <x:v>Run logs</x:v>
      </x:c>
      <x:c r="H5" s="276" t="str">
        <x:v>Minimum three models; team expectation may be higher</x:v>
      </x:c>
    </x:row>
    <x:row r="6">
      <x:c r="A6" s="186" t="str">
        <x:v>Step cap</x:v>
      </x:c>
      <x:c r="B6" s="279"/>
      <x:c r="C6" s="279"/>
      <x:c r="D6" s="179" t="str">
        <x:v>steps</x:v>
      </x:c>
      <x:c r="E6" s="280" t="str">
        <x:f>IF(OR(B6="",C6=""),"MISSING",IF(C6&lt;=B6,"PASS","FAIL"))</x:f>
        <x:v>MISSING</x:v>
      </x:c>
      <x:c r="F6" s="179" t="str">
        <x:v>Tools / guardrail config</x:v>
      </x:c>
      <x:c r="G6" s="279" t="str">
        <x:v>Config + experiment</x:v>
      </x:c>
      <x:c r="H6" s="279" t="str">
        <x:v>Measured worst legitimate turns must be ≤ cap</x:v>
      </x:c>
    </x:row>
    <x:row r="7">
      <x:c r="A7" s="186" t="str">
        <x:v>Budget ceiling</x:v>
      </x:c>
      <x:c r="B7" s="279"/>
      <x:c r="C7" s="279"/>
      <x:c r="D7" s="179" t="str">
        <x:v>USD/run</x:v>
      </x:c>
      <x:c r="E7" s="280" t="str">
        <x:f>IF(OR(B7="",C7=""),"MISSING",IF(C7&lt;=B7,"PASS","FAIL"))</x:f>
        <x:v>MISSING</x:v>
      </x:c>
      <x:c r="F7" s="179" t="str">
        <x:v>Tools / guardrail config</x:v>
      </x:c>
      <x:c r="G7" s="279" t="str">
        <x:v>Config + cost result</x:v>
      </x:c>
      <x:c r="H7" s="279" t="str">
        <x:v>Measured maximum run cost must be ≤ ceiling</x:v>
      </x:c>
    </x:row>
    <x:row r="8">
      <x:c r="A8" s="186" t="str">
        <x:v>Monthly user limit</x:v>
      </x:c>
      <x:c r="B8" s="279"/>
      <x:c r="C8" s="279"/>
      <x:c r="D8" s="179" t="str">
        <x:v>USD/user/month</x:v>
      </x:c>
      <x:c r="E8" s="280" t="str">
        <x:f>IF(OR(B8="",C8=""),"MISSING",IF(C8&lt;=B8,"PASS","FAIL"))</x:f>
        <x:v>MISSING</x:v>
      </x:c>
      <x:c r="F8" s="179" t="str">
        <x:v>Tools / deployment policy</x:v>
      </x:c>
      <x:c r="G8" s="279" t="str">
        <x:v>Policy/config</x:v>
      </x:c>
      <x:c r="H8" s="279" t="str">
        <x:v>Expected user spend must be ≤ monthly limit</x:v>
      </x:c>
    </x:row>
    <x:row r="9">
      <x:c r="A9" s="186" t="str">
        <x:v>Price tiers represented</x:v>
      </x:c>
      <x:c r="B9" s="279" t="n">
        <x:v>2</x:v>
      </x:c>
      <x:c r="C9" s="279"/>
      <x:c r="D9" s="179" t="str">
        <x:v>tiers</x:v>
      </x:c>
      <x:c r="E9" s="280" t="str">
        <x:f>IF(C9="","MISSING",IF(C9&gt;=B9,"PASS","FAIL"))</x:f>
        <x:v>MISSING</x:v>
      </x:c>
      <x:c r="F9" s="179" t="str">
        <x:v>Model Prices</x:v>
      </x:c>
      <x:c r="G9" s="279" t="str">
        <x:v>Pricing sources</x:v>
      </x:c>
      <x:c r="H9" s="279" t="str">
        <x:v>Models must span at least two price tiers</x:v>
      </x:c>
    </x:row>
    <x:row r="10">
      <x:c r="A10" s="187" t="str">
        <x:v>Duplicate model families</x:v>
      </x:c>
      <x:c r="B10" s="279" t="n">
        <x:v>0</x:v>
      </x:c>
      <x:c r="C10" s="279"/>
      <x:c r="D10" s="182" t="str">
        <x:v>duplicates</x:v>
      </x:c>
      <x:c r="E10" s="280" t="str">
        <x:f>IF(C10="","MISSING",IF(C10=B10,"PASS","FAIL"))</x:f>
        <x:v>MISSING</x:v>
      </x:c>
      <x:c r="F10" s="182" t="str">
        <x:v>Model Runs</x:v>
      </x:c>
      <x:c r="G10" s="279" t="str">
        <x:v>Model names/families</x:v>
      </x:c>
      <x:c r="H10" s="279" t="str">
        <x:v>No two live models from the same family</x:v>
      </x:c>
    </x:row>
    <x:row r="11">
      <x:c r="A11" s="173"/>
      <x:c r="B11" s="173"/>
      <x:c r="C11" s="173"/>
      <x:c r="D11" s="173"/>
      <x:c r="E11" s="173"/>
      <x:c r="F11" s="173"/>
      <x:c r="G11" s="173"/>
      <x:c r="H11" s="173"/>
    </x:row>
    <x:row r="12">
      <x:c r="A12" s="282" t="str">
        <x:v>MODEL STATUS</x:v>
      </x:c>
      <x:c r="B12" s="283" t="str">
        <x:f>IF(COUNTIF(E5:E10,"PASS")=6,"PASS","FAIL / INCOMPLETE")</x:f>
        <x:v>FAIL / INCOMPLETE</x:v>
      </x:c>
      <x:c r="C12" s="173"/>
      <x:c r="D12" s="173"/>
      <x:c r="E12" s="173"/>
      <x:c r="F12" s="173"/>
      <x:c r="G12" s="173"/>
      <x:c r="H12" s="173"/>
    </x:row>
  </x:sheetData>
  <x:mergeCells>
    <x:mergeCell ref="A1:H1"/>
    <x:mergeCell ref="A2:H2"/>
  </x:mergeCells>
  <x:conditionalFormatting sqref="E5:E10">
    <x:cfRule type="containsText" dxfId="2" priority="1" operator="containsText" text="PASS"/>
    <x:cfRule type="containsText" dxfId="3" priority="2" operator="containsText" text="FAIL"/>
    <x:cfRule type="containsText" dxfId="4" priority="3" operator="containsText" text="MISSING"/>
  </x:conditionalFormatting>
  <x:conditionalFormatting sqref="B12:B12">
    <x:cfRule type="containsText" dxfId="5" priority="4" operator="containsText" text="PASS"/>
    <x:cfRule type="containsText" dxfId="6" priority="5" operator="containsText" text="FAIL"/>
  </x:conditionalFormatting>
  <x:pageMargins left="0.7" right="0.7" top="0.75" bottom="0.75" header="0.3" footer="0.3"/>
</x:worksheet>
</file>